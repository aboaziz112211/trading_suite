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4990" documentId="8_{910D2D01-6416-45C2-83D7-DFD7E4486140}" xr6:coauthVersionLast="47" xr6:coauthVersionMax="47" xr10:uidLastSave="{666D2721-0758-46E1-9875-FD823D6F747C}"/>
  <bookViews>
    <workbookView minimized="1" xWindow="390" yWindow="390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9" i="2" l="1" a="1"/>
  <c r="V157" i="2" a="1"/>
  <c r="V252" i="2" a="1"/>
  <c r="V146" i="2" a="1"/>
  <c r="V85" i="2" a="1"/>
  <c r="V257" i="2" a="1"/>
  <c r="V128" i="2" a="1"/>
  <c r="V59" i="2" a="1"/>
  <c r="V108" i="2" a="1"/>
  <c r="V238" i="2" a="1"/>
  <c r="V147" i="2" a="1"/>
  <c r="V45" i="2" a="1"/>
  <c r="V219" i="2" a="1"/>
  <c r="V78" i="2" a="1"/>
  <c r="V275" i="2" a="1"/>
  <c r="V121" i="2" a="1"/>
  <c r="V36" i="2" a="1"/>
  <c r="V111" i="2" a="1"/>
  <c r="V271" i="2" a="1"/>
  <c r="V228" i="2" a="1"/>
  <c r="V56" i="2" a="1"/>
  <c r="V220" i="2" a="1"/>
  <c r="V27" i="2" a="1"/>
  <c r="V178" i="2" a="1"/>
  <c r="V165" i="2" a="1"/>
  <c r="V125" i="2" a="1"/>
  <c r="V87" i="2" a="1"/>
  <c r="V199" i="2" a="1"/>
  <c r="V17" i="2" a="1"/>
  <c r="V209" i="2" a="1"/>
  <c r="V20" i="2" a="1"/>
  <c r="V99" i="2" a="1"/>
  <c r="V38" i="2" a="1"/>
  <c r="V291" i="2" a="1"/>
  <c r="V37" i="2" a="1"/>
  <c r="V62" i="2" a="1"/>
  <c r="V134" i="2" a="1"/>
  <c r="V9" i="2" a="1"/>
  <c r="V237" i="2" a="1"/>
  <c r="V215" i="2" a="1"/>
  <c r="V133" i="2" a="1"/>
  <c r="V216" i="2" a="1"/>
  <c r="V293" i="2" a="1"/>
  <c r="V90" i="2" a="1"/>
  <c r="V174" i="2" a="1"/>
  <c r="V118" i="2" a="1"/>
  <c r="V136" i="2" a="1"/>
  <c r="V96" i="2" a="1"/>
  <c r="V269" i="2" a="1"/>
  <c r="V283" i="2" a="1"/>
  <c r="V153" i="2" a="1"/>
  <c r="V234" i="2" a="1"/>
  <c r="V288" i="2" a="1"/>
  <c r="V156" i="2" a="1"/>
  <c r="V81" i="2" a="1"/>
  <c r="V205" i="2" a="1"/>
  <c r="V91" i="2" a="1"/>
  <c r="V131" i="2" a="1"/>
  <c r="V86" i="2" a="1"/>
  <c r="V232" i="2" a="1"/>
  <c r="V180" i="2" a="1"/>
  <c r="V104" i="2" a="1"/>
  <c r="V277" i="2" a="1"/>
  <c r="V31" i="2" a="1"/>
  <c r="V58" i="2" a="1"/>
  <c r="V24" i="2" a="1"/>
  <c r="V26" i="2" a="1"/>
  <c r="V92" i="2" a="1"/>
  <c r="V196" i="2" a="1"/>
  <c r="V63" i="2" a="1"/>
  <c r="V71" i="2" a="1"/>
  <c r="V141" i="2" a="1"/>
  <c r="V120" i="2" a="1"/>
  <c r="V181" i="2" a="1"/>
  <c r="V244" i="2" a="1"/>
  <c r="V130" i="2" a="1"/>
  <c r="V102" i="2" a="1"/>
  <c r="V5" i="2" a="1"/>
  <c r="V158" i="2" a="1"/>
  <c r="V229" i="2" a="1"/>
  <c r="V101" i="2" a="1"/>
  <c r="V248" i="2" a="1"/>
  <c r="V255" i="2" a="1"/>
  <c r="V60" i="2" a="1"/>
  <c r="V202" i="2" a="1"/>
  <c r="V227" i="2" a="1"/>
  <c r="V175" i="2" a="1"/>
  <c r="V154" i="2" a="1"/>
  <c r="V57" i="2" a="1"/>
  <c r="V256" i="2" a="1"/>
  <c r="V276" i="2" a="1"/>
  <c r="V172" i="2" a="1"/>
  <c r="V25" i="2" a="1"/>
  <c r="V169" i="2" a="1"/>
  <c r="V185" i="2" a="1"/>
  <c r="V160" i="2" a="1"/>
  <c r="V186" i="2" a="1"/>
  <c r="V233" i="2" a="1"/>
  <c r="V22" i="2" a="1"/>
  <c r="V159" i="2" a="1"/>
  <c r="V187" i="2" a="1"/>
  <c r="V109" i="2" a="1"/>
  <c r="V152" i="2" a="1"/>
  <c r="V235" i="2" a="1"/>
  <c r="V262" i="2" a="1"/>
  <c r="V15" i="2" a="1"/>
  <c r="V40" i="2" a="1"/>
  <c r="V272" i="2" a="1"/>
  <c r="V198" i="2" a="1"/>
  <c r="V168" i="2" a="1"/>
  <c r="V250" i="2" a="1"/>
  <c r="V176" i="2" a="1"/>
  <c r="V214" i="2" a="1"/>
  <c r="V74" i="2" a="1"/>
  <c r="V68" i="2" a="1"/>
  <c r="V50" i="2" a="1"/>
  <c r="V129" i="2" a="1"/>
  <c r="V263" i="2" a="1"/>
  <c r="V189" i="2" a="1"/>
  <c r="V190" i="2" a="1"/>
  <c r="V97" i="2" a="1"/>
  <c r="V124" i="2" a="1"/>
  <c r="V194" i="2" a="1"/>
  <c r="V7" i="2" a="1"/>
  <c r="V122" i="2" a="1"/>
  <c r="V184" i="2" a="1"/>
  <c r="V70" i="2" a="1"/>
  <c r="V94" i="2" a="1"/>
  <c r="V211" i="2" a="1"/>
  <c r="V11" i="2" a="1"/>
  <c r="V265" i="2" a="1"/>
  <c r="V155" i="2" a="1"/>
  <c r="V67" i="2" a="1"/>
  <c r="V2" i="2" a="1"/>
  <c r="V69" i="2" a="1"/>
  <c r="V270" i="2" a="1"/>
  <c r="V144" i="2" a="1"/>
  <c r="V112" i="2" a="1"/>
  <c r="V34" i="2" a="1"/>
  <c r="V29" i="2" a="1"/>
  <c r="V222" i="2" a="1"/>
  <c r="V46" i="2" a="1"/>
  <c r="V52" i="2" a="1"/>
  <c r="V188" i="2" a="1"/>
  <c r="V72" i="2" a="1"/>
  <c r="V241" i="2" a="1"/>
  <c r="V177" i="2" a="1"/>
  <c r="V142" i="2" a="1"/>
  <c r="V106" i="2" a="1"/>
  <c r="V76" i="2" a="1"/>
  <c r="V208" i="2" a="1"/>
  <c r="V107" i="2" a="1"/>
  <c r="V10" i="2" a="1"/>
  <c r="V19" i="2" a="1"/>
  <c r="V48" i="2" a="1"/>
  <c r="V286" i="2" a="1"/>
  <c r="V289" i="2" a="1"/>
  <c r="V75" i="2" a="1"/>
  <c r="V207" i="2" a="1"/>
  <c r="V12" i="2" a="1"/>
  <c r="V83" i="2" a="1"/>
  <c r="V213" i="2" a="1"/>
  <c r="V65" i="2" a="1"/>
  <c r="V173" i="2" a="1"/>
  <c r="V82" i="2" a="1"/>
  <c r="V279" i="2" a="1"/>
  <c r="V28" i="2" a="1"/>
  <c r="V239" i="2" a="1"/>
  <c r="V212" i="2" a="1"/>
  <c r="V93" i="2" a="1"/>
  <c r="V100" i="2" a="1"/>
  <c r="V254" i="2" a="1"/>
  <c r="V223" i="2" a="1"/>
  <c r="V117" i="2" a="1"/>
  <c r="V77" i="2" a="1"/>
  <c r="V150" i="2" a="1"/>
  <c r="V135" i="2" a="1"/>
  <c r="V260" i="2" a="1"/>
  <c r="V47" i="2" a="1"/>
  <c r="V80" i="2" a="1"/>
  <c r="V30" i="2" a="1"/>
  <c r="V143" i="2" a="1"/>
  <c r="V264" i="2" a="1"/>
  <c r="V226" i="2" a="1"/>
  <c r="V243" i="2" a="1"/>
  <c r="V139" i="2" a="1"/>
  <c r="V200" i="2" a="1"/>
  <c r="V217" i="2" a="1"/>
  <c r="V23" i="2" a="1"/>
  <c r="V201" i="2" a="1"/>
  <c r="V183" i="2" a="1"/>
  <c r="V53" i="2" a="1"/>
  <c r="V6" i="2" a="1"/>
  <c r="V268" i="2" a="1"/>
  <c r="V182" i="2" a="1"/>
  <c r="V151" i="2" a="1"/>
  <c r="V281" i="2" a="1"/>
  <c r="V116" i="2" a="1"/>
  <c r="V195" i="2" a="1"/>
  <c r="V148" i="2" a="1"/>
  <c r="V203" i="2" a="1"/>
  <c r="V114" i="2" a="1"/>
  <c r="V18" i="2" a="1"/>
  <c r="V49" i="2" a="1"/>
  <c r="V55" i="2" a="1"/>
  <c r="V225" i="2" a="1"/>
  <c r="V258" i="2" a="1"/>
  <c r="V246" i="2" a="1"/>
  <c r="V218" i="2" a="1"/>
  <c r="V44" i="2" a="1"/>
  <c r="V247" i="2" a="1"/>
  <c r="V231" i="2" a="1"/>
  <c r="V140" i="2" a="1"/>
  <c r="V138" i="2" a="1"/>
  <c r="V132" i="2" a="1"/>
  <c r="V242" i="2" a="1"/>
  <c r="V84" i="2" a="1"/>
  <c r="V221" i="2" a="1"/>
  <c r="V16" i="2" a="1"/>
  <c r="V8" i="2" a="1"/>
  <c r="V66" i="2" a="1"/>
  <c r="V123" i="2" a="1"/>
  <c r="V89" i="2" a="1"/>
  <c r="V280" i="2" a="1"/>
  <c r="V98" i="2" a="1"/>
  <c r="V166" i="2" a="1"/>
  <c r="V161" i="2" a="1"/>
  <c r="V224" i="2" a="1"/>
  <c r="V21" i="2" a="1"/>
  <c r="V284" i="2" a="1"/>
  <c r="V170" i="2" a="1"/>
  <c r="V274" i="2" a="1"/>
  <c r="V171" i="2" a="1"/>
  <c r="V261" i="2" a="1"/>
  <c r="V259" i="2" a="1"/>
  <c r="V267" i="2" a="1"/>
  <c r="V73" i="2" a="1"/>
  <c r="V145" i="2" a="1"/>
  <c r="V236" i="2" a="1"/>
  <c r="V42" i="2" a="1"/>
  <c r="V251" i="2" a="1"/>
  <c r="V253" i="2" a="1"/>
  <c r="V39" i="2" a="1"/>
  <c r="V167" i="2" a="1"/>
  <c r="V192" i="2" a="1"/>
  <c r="V103" i="2" a="1"/>
  <c r="V204" i="2" a="1"/>
  <c r="V193" i="2" a="1"/>
  <c r="V292" i="2" a="1"/>
  <c r="V210" i="2" a="1"/>
  <c r="V43" i="2" a="1"/>
  <c r="V13" i="2" a="1"/>
  <c r="V64" i="2" a="1"/>
  <c r="V32" i="2" a="1"/>
  <c r="V113" i="2" a="1"/>
  <c r="V4" i="2" a="1"/>
  <c r="V105" i="2" a="1"/>
  <c r="V285" i="2" a="1"/>
  <c r="V35" i="2" a="1"/>
  <c r="V290" i="2" a="1"/>
  <c r="V163" i="2" a="1"/>
  <c r="V110" i="2" a="1"/>
  <c r="V197" i="2" a="1"/>
  <c r="V179" i="2" a="1"/>
  <c r="V206" i="2" a="1"/>
  <c r="V282" i="2" a="1"/>
  <c r="V137" i="2" a="1"/>
  <c r="V51" i="2" a="1"/>
  <c r="V230" i="2" a="1"/>
  <c r="V127" i="2" a="1"/>
  <c r="AA3" i="2"/>
  <c r="H15" i="2"/>
  <c r="P16" i="2"/>
  <c r="I16" i="2"/>
  <c r="T15" i="2"/>
  <c r="T16" i="2"/>
  <c r="O15" i="2"/>
  <c r="U15" i="2"/>
  <c r="AA4" i="2"/>
  <c r="S15" i="2"/>
  <c r="I15" i="2"/>
  <c r="H16" i="2"/>
  <c r="U16" i="2"/>
  <c r="P15" i="2"/>
  <c r="S16" i="2"/>
  <c r="O16" i="2"/>
  <c r="U32" i="2"/>
  <c r="T32" i="2"/>
  <c r="P32" i="2"/>
  <c r="H32" i="2"/>
  <c r="I32" i="2"/>
  <c r="S32" i="2"/>
  <c r="P298" i="2"/>
  <c r="S236" i="2"/>
  <c r="H34" i="2"/>
  <c r="O221" i="2"/>
  <c r="P221" i="2"/>
  <c r="I8" i="2"/>
  <c r="T221" i="2"/>
  <c r="O288" i="2"/>
  <c r="H221" i="2"/>
  <c r="S288" i="2"/>
  <c r="U106" i="2"/>
  <c r="S7" i="2"/>
  <c r="T119" i="2"/>
  <c r="P34" i="2"/>
  <c r="O106" i="2"/>
  <c r="P8" i="2"/>
  <c r="T8" i="2"/>
  <c r="T282" i="2"/>
  <c r="S34" i="2"/>
  <c r="S184" i="2"/>
  <c r="O119" i="2"/>
  <c r="P119" i="2"/>
  <c r="I119" i="2"/>
  <c r="U282" i="2"/>
  <c r="I184" i="2"/>
  <c r="T184" i="2"/>
  <c r="I7" i="2"/>
  <c r="U34" i="2"/>
  <c r="H106" i="2"/>
  <c r="U8" i="2"/>
  <c r="S8" i="2"/>
  <c r="H119" i="2"/>
  <c r="S106" i="2"/>
  <c r="O184" i="2"/>
  <c r="I34" i="2"/>
  <c r="H8" i="2"/>
  <c r="I106" i="2"/>
  <c r="T7" i="2"/>
  <c r="P236" i="2"/>
  <c r="I236" i="2"/>
  <c r="P7" i="2"/>
  <c r="T236" i="2"/>
  <c r="I221" i="2"/>
  <c r="U288" i="2"/>
  <c r="U221" i="2"/>
  <c r="T106" i="2"/>
  <c r="U184" i="2"/>
  <c r="U119" i="2"/>
  <c r="U236" i="2"/>
  <c r="S282" i="2"/>
  <c r="O282" i="2"/>
  <c r="H288" i="2"/>
  <c r="O7" i="2"/>
  <c r="P288" i="2"/>
  <c r="O34" i="2"/>
  <c r="P184" i="2"/>
  <c r="P282" i="2"/>
  <c r="T288" i="2"/>
  <c r="U7" i="2"/>
  <c r="S119" i="2"/>
  <c r="H282" i="2"/>
  <c r="S221" i="2"/>
  <c r="I288" i="2"/>
  <c r="P106" i="2"/>
  <c r="O8" i="2"/>
  <c r="H184" i="2"/>
  <c r="T34" i="2"/>
  <c r="H7" i="2"/>
  <c r="I282" i="2"/>
  <c r="O236" i="2"/>
  <c r="H236" i="2"/>
  <c r="S196" i="2"/>
  <c r="P29" i="2"/>
  <c r="S256" i="2"/>
  <c r="O196" i="2"/>
  <c r="P179" i="2"/>
  <c r="H196" i="2"/>
  <c r="O179" i="2"/>
  <c r="S132" i="2"/>
  <c r="P93" i="2"/>
  <c r="H132" i="2"/>
  <c r="S71" i="2"/>
  <c r="P196" i="2"/>
  <c r="O93" i="2"/>
  <c r="U256" i="2"/>
  <c r="S179" i="2"/>
  <c r="H71" i="2"/>
  <c r="H29" i="2"/>
  <c r="I29" i="2"/>
  <c r="O256" i="2"/>
  <c r="S93" i="2"/>
  <c r="T256" i="2"/>
  <c r="T71" i="2"/>
  <c r="T93" i="2"/>
  <c r="U196" i="2"/>
  <c r="O29" i="2"/>
  <c r="S29" i="2"/>
  <c r="I93" i="2"/>
  <c r="I179" i="2"/>
  <c r="I132" i="2"/>
  <c r="T29" i="2"/>
  <c r="T179" i="2"/>
  <c r="H179" i="2"/>
  <c r="U93" i="2"/>
  <c r="O71" i="2"/>
  <c r="U179" i="2"/>
  <c r="P71" i="2"/>
  <c r="I256" i="2"/>
  <c r="H93" i="2"/>
  <c r="P132" i="2"/>
  <c r="H256" i="2"/>
  <c r="U29" i="2"/>
  <c r="U71" i="2"/>
  <c r="O132" i="2"/>
  <c r="T132" i="2"/>
  <c r="I196" i="2"/>
  <c r="I71" i="2"/>
  <c r="T196" i="2"/>
  <c r="U132" i="2"/>
  <c r="P256" i="2"/>
  <c r="U281" i="2"/>
  <c r="O98" i="2"/>
  <c r="T244" i="2"/>
  <c r="S281" i="2"/>
  <c r="P226" i="2"/>
  <c r="U98" i="2"/>
  <c r="O205" i="2"/>
  <c r="T98" i="2"/>
  <c r="P244" i="2"/>
  <c r="H68" i="2"/>
  <c r="H226" i="2"/>
  <c r="I226" i="2"/>
  <c r="T275" i="2"/>
  <c r="H275" i="2"/>
  <c r="S145" i="2"/>
  <c r="S68" i="2"/>
  <c r="I281" i="2"/>
  <c r="I205" i="2"/>
  <c r="H227" i="2"/>
  <c r="U244" i="2"/>
  <c r="I68" i="2"/>
  <c r="T205" i="2"/>
  <c r="T68" i="2"/>
  <c r="S98" i="2"/>
  <c r="T281" i="2"/>
  <c r="O68" i="2"/>
  <c r="T227" i="2"/>
  <c r="I145" i="2"/>
  <c r="I198" i="2"/>
  <c r="P145" i="2"/>
  <c r="O227" i="2"/>
  <c r="O275" i="2"/>
  <c r="I275" i="2"/>
  <c r="I227" i="2"/>
  <c r="T145" i="2"/>
  <c r="S205" i="2"/>
  <c r="I98" i="2"/>
  <c r="H198" i="2"/>
  <c r="H281" i="2"/>
  <c r="S244" i="2"/>
  <c r="O198" i="2"/>
  <c r="H244" i="2"/>
  <c r="O226" i="2"/>
  <c r="S227" i="2"/>
  <c r="T198" i="2"/>
  <c r="H205" i="2"/>
  <c r="P198" i="2"/>
  <c r="P68" i="2"/>
  <c r="P281" i="2"/>
  <c r="U226" i="2"/>
  <c r="S275" i="2"/>
  <c r="S226" i="2"/>
  <c r="S198" i="2"/>
  <c r="U275" i="2"/>
  <c r="O145" i="2"/>
  <c r="P98" i="2"/>
  <c r="T226" i="2"/>
  <c r="H145" i="2"/>
  <c r="U227" i="2"/>
  <c r="U145" i="2"/>
  <c r="I244" i="2"/>
  <c r="U198" i="2"/>
  <c r="U68" i="2"/>
  <c r="H98" i="2"/>
  <c r="P205" i="2"/>
  <c r="O281" i="2"/>
  <c r="P227" i="2"/>
  <c r="O244" i="2"/>
  <c r="U205" i="2"/>
  <c r="P275" i="2"/>
  <c r="O186" i="2"/>
  <c r="U186" i="2"/>
  <c r="S186" i="2"/>
  <c r="I186" i="2"/>
  <c r="H185" i="2"/>
  <c r="P165" i="2"/>
  <c r="U148" i="2"/>
  <c r="P185" i="2"/>
  <c r="O109" i="2"/>
  <c r="S109" i="2"/>
  <c r="T109" i="2"/>
  <c r="H81" i="2"/>
  <c r="U185" i="2"/>
  <c r="I241" i="2"/>
  <c r="S185" i="2"/>
  <c r="O78" i="2"/>
  <c r="I40" i="2"/>
  <c r="U109" i="2"/>
  <c r="O148" i="2"/>
  <c r="I84" i="2"/>
  <c r="U165" i="2"/>
  <c r="S148" i="2"/>
  <c r="I165" i="2"/>
  <c r="I81" i="2"/>
  <c r="H241" i="2"/>
  <c r="P78" i="2"/>
  <c r="O185" i="2"/>
  <c r="H165" i="2"/>
  <c r="U81" i="2"/>
  <c r="H78" i="2"/>
  <c r="H148" i="2"/>
  <c r="I109" i="2"/>
  <c r="U84" i="2"/>
  <c r="O84" i="2"/>
  <c r="O241" i="2"/>
  <c r="S78" i="2"/>
  <c r="I148" i="2"/>
  <c r="T186" i="2"/>
  <c r="S165" i="2"/>
  <c r="S40" i="2"/>
  <c r="T165" i="2"/>
  <c r="T148" i="2"/>
  <c r="T40" i="2"/>
  <c r="H40" i="2"/>
  <c r="T81" i="2"/>
  <c r="T185" i="2"/>
  <c r="T78" i="2"/>
  <c r="O40" i="2"/>
  <c r="U40" i="2"/>
  <c r="T241" i="2"/>
  <c r="P186" i="2"/>
  <c r="S81" i="2"/>
  <c r="P84" i="2"/>
  <c r="O165" i="2"/>
  <c r="P109" i="2"/>
  <c r="S84" i="2"/>
  <c r="H84" i="2"/>
  <c r="U78" i="2"/>
  <c r="P81" i="2"/>
  <c r="H186" i="2"/>
  <c r="S241" i="2"/>
  <c r="H109" i="2"/>
  <c r="P148" i="2"/>
  <c r="I185" i="2"/>
  <c r="I78" i="2"/>
  <c r="P40" i="2"/>
  <c r="O81" i="2"/>
  <c r="P241" i="2"/>
  <c r="U241" i="2"/>
  <c r="T84" i="2"/>
  <c r="S272" i="2"/>
  <c r="P192" i="2"/>
  <c r="T192" i="2"/>
  <c r="U46" i="2"/>
  <c r="P48" i="2"/>
  <c r="I45" i="2"/>
  <c r="U157" i="2"/>
  <c r="H272" i="2"/>
  <c r="S290" i="2"/>
  <c r="O46" i="2"/>
  <c r="U272" i="2"/>
  <c r="U135" i="2"/>
  <c r="I272" i="2"/>
  <c r="I230" i="2"/>
  <c r="U45" i="2"/>
  <c r="P46" i="2"/>
  <c r="P157" i="2"/>
  <c r="T230" i="2"/>
  <c r="O290" i="2"/>
  <c r="T272" i="2"/>
  <c r="U230" i="2"/>
  <c r="S48" i="2"/>
  <c r="U192" i="2"/>
  <c r="S43" i="2"/>
  <c r="P135" i="2"/>
  <c r="I43" i="2"/>
  <c r="I48" i="2"/>
  <c r="P230" i="2"/>
  <c r="T135" i="2"/>
  <c r="H45" i="2"/>
  <c r="S192" i="2"/>
  <c r="S230" i="2"/>
  <c r="I46" i="2"/>
  <c r="O48" i="2"/>
  <c r="T48" i="2"/>
  <c r="U48" i="2"/>
  <c r="S157" i="2"/>
  <c r="T46" i="2"/>
  <c r="I135" i="2"/>
  <c r="T157" i="2"/>
  <c r="S45" i="2"/>
  <c r="O43" i="2"/>
  <c r="H230" i="2"/>
  <c r="U290" i="2"/>
  <c r="S135" i="2"/>
  <c r="P43" i="2"/>
  <c r="P290" i="2"/>
  <c r="O45" i="2"/>
  <c r="I157" i="2"/>
  <c r="I192" i="2"/>
  <c r="T43" i="2"/>
  <c r="H43" i="2"/>
  <c r="H135" i="2"/>
  <c r="I290" i="2"/>
  <c r="O192" i="2"/>
  <c r="O272" i="2"/>
  <c r="H157" i="2"/>
  <c r="S46" i="2"/>
  <c r="T290" i="2"/>
  <c r="P45" i="2"/>
  <c r="O230" i="2"/>
  <c r="H46" i="2"/>
  <c r="H290" i="2"/>
  <c r="U43" i="2"/>
  <c r="H48" i="2"/>
  <c r="O135" i="2"/>
  <c r="O157" i="2"/>
  <c r="T45" i="2"/>
  <c r="P272" i="2"/>
  <c r="H192" i="2"/>
  <c r="P128" i="2"/>
  <c r="U280" i="2"/>
  <c r="I128" i="2"/>
  <c r="U173" i="2"/>
  <c r="P23" i="2"/>
  <c r="P291" i="2"/>
  <c r="I23" i="2"/>
  <c r="O23" i="2"/>
  <c r="U23" i="2"/>
  <c r="O111" i="2"/>
  <c r="I280" i="2"/>
  <c r="O224" i="2"/>
  <c r="O173" i="2"/>
  <c r="H111" i="2"/>
  <c r="T23" i="2"/>
  <c r="P173" i="2"/>
  <c r="H173" i="2"/>
  <c r="S187" i="2"/>
  <c r="I291" i="2"/>
  <c r="I187" i="2"/>
  <c r="T111" i="2"/>
  <c r="H265" i="2"/>
  <c r="O187" i="2"/>
  <c r="U111" i="2"/>
  <c r="T280" i="2"/>
  <c r="S31" i="2"/>
  <c r="H187" i="2"/>
  <c r="T291" i="2"/>
  <c r="I111" i="2"/>
  <c r="S111" i="2"/>
  <c r="P187" i="2"/>
  <c r="H31" i="2"/>
  <c r="O265" i="2"/>
  <c r="U291" i="2"/>
  <c r="T128" i="2"/>
  <c r="U187" i="2"/>
  <c r="O291" i="2"/>
  <c r="P224" i="2"/>
  <c r="I265" i="2"/>
  <c r="P280" i="2"/>
  <c r="T173" i="2"/>
  <c r="I173" i="2"/>
  <c r="U31" i="2"/>
  <c r="H291" i="2"/>
  <c r="T31" i="2"/>
  <c r="S128" i="2"/>
  <c r="U265" i="2"/>
  <c r="I31" i="2"/>
  <c r="I224" i="2"/>
  <c r="P265" i="2"/>
  <c r="O280" i="2"/>
  <c r="H280" i="2"/>
  <c r="S224" i="2"/>
  <c r="T265" i="2"/>
  <c r="O128" i="2"/>
  <c r="O31" i="2"/>
  <c r="T224" i="2"/>
  <c r="H23" i="2"/>
  <c r="H224" i="2"/>
  <c r="H128" i="2"/>
  <c r="S280" i="2"/>
  <c r="S23" i="2"/>
  <c r="T187" i="2"/>
  <c r="S173" i="2"/>
  <c r="U224" i="2"/>
  <c r="U128" i="2"/>
  <c r="P111" i="2"/>
  <c r="S291" i="2"/>
  <c r="P31" i="2"/>
  <c r="S265" i="2"/>
  <c r="T83" i="2"/>
  <c r="U36" i="2"/>
  <c r="T101" i="2"/>
  <c r="T229" i="2"/>
  <c r="I229" i="2"/>
  <c r="P247" i="2"/>
  <c r="I142" i="2"/>
  <c r="P101" i="2"/>
  <c r="S219" i="2"/>
  <c r="S259" i="2"/>
  <c r="H259" i="2"/>
  <c r="P219" i="2"/>
  <c r="S75" i="2"/>
  <c r="U247" i="2"/>
  <c r="I75" i="2"/>
  <c r="O83" i="2"/>
  <c r="O229" i="2"/>
  <c r="P259" i="2"/>
  <c r="T247" i="2"/>
  <c r="I55" i="2"/>
  <c r="P55" i="2"/>
  <c r="U101" i="2"/>
  <c r="O142" i="2"/>
  <c r="H83" i="2"/>
  <c r="I219" i="2"/>
  <c r="S229" i="2"/>
  <c r="S101" i="2"/>
  <c r="U259" i="2"/>
  <c r="I36" i="2"/>
  <c r="U83" i="2"/>
  <c r="O219" i="2"/>
  <c r="T55" i="2"/>
  <c r="S247" i="2"/>
  <c r="I259" i="2"/>
  <c r="O75" i="2"/>
  <c r="U75" i="2"/>
  <c r="T142" i="2"/>
  <c r="S83" i="2"/>
  <c r="O259" i="2"/>
  <c r="H36" i="2"/>
  <c r="O55" i="2"/>
  <c r="H229" i="2"/>
  <c r="U142" i="2"/>
  <c r="T219" i="2"/>
  <c r="P36" i="2"/>
  <c r="H219" i="2"/>
  <c r="H55" i="2"/>
  <c r="H142" i="2"/>
  <c r="O36" i="2"/>
  <c r="U229" i="2"/>
  <c r="S36" i="2"/>
  <c r="P142" i="2"/>
  <c r="H75" i="2"/>
  <c r="I83" i="2"/>
  <c r="T75" i="2"/>
  <c r="O101" i="2"/>
  <c r="H247" i="2"/>
  <c r="U55" i="2"/>
  <c r="I247" i="2"/>
  <c r="H101" i="2"/>
  <c r="U219" i="2"/>
  <c r="I101" i="2"/>
  <c r="P75" i="2"/>
  <c r="T259" i="2"/>
  <c r="O247" i="2"/>
  <c r="S142" i="2"/>
  <c r="P229" i="2"/>
  <c r="S55" i="2"/>
  <c r="T36" i="2"/>
  <c r="P83" i="2"/>
  <c r="H264" i="2"/>
  <c r="H243" i="2"/>
  <c r="P243" i="2"/>
  <c r="T174" i="2"/>
  <c r="O53" i="2"/>
  <c r="O117" i="2"/>
  <c r="T243" i="2"/>
  <c r="S6" i="2"/>
  <c r="T105" i="2"/>
  <c r="H174" i="2"/>
  <c r="T263" i="2"/>
  <c r="T264" i="2"/>
  <c r="O174" i="2"/>
  <c r="O264" i="2"/>
  <c r="T53" i="2"/>
  <c r="H217" i="2"/>
  <c r="U53" i="2"/>
  <c r="U174" i="2"/>
  <c r="T257" i="2"/>
  <c r="I53" i="2"/>
  <c r="T6" i="2"/>
  <c r="U6" i="2"/>
  <c r="P263" i="2"/>
  <c r="P264" i="2"/>
  <c r="S264" i="2"/>
  <c r="S257" i="2"/>
  <c r="I264" i="2"/>
  <c r="H6" i="2"/>
  <c r="P105" i="2"/>
  <c r="H53" i="2"/>
  <c r="O6" i="2"/>
  <c r="O243" i="2"/>
  <c r="I105" i="2"/>
  <c r="I243" i="2"/>
  <c r="H257" i="2"/>
  <c r="H117" i="2"/>
  <c r="T217" i="2"/>
  <c r="I6" i="2"/>
  <c r="I117" i="2"/>
  <c r="P53" i="2"/>
  <c r="I217" i="2"/>
  <c r="I174" i="2"/>
  <c r="O257" i="2"/>
  <c r="I263" i="2"/>
  <c r="T117" i="2"/>
  <c r="I257" i="2"/>
  <c r="S217" i="2"/>
  <c r="P117" i="2"/>
  <c r="S105" i="2"/>
  <c r="U117" i="2"/>
  <c r="U217" i="2"/>
  <c r="H105" i="2"/>
  <c r="O217" i="2"/>
  <c r="S243" i="2"/>
  <c r="U105" i="2"/>
  <c r="U263" i="2"/>
  <c r="P174" i="2"/>
  <c r="O263" i="2"/>
  <c r="H263" i="2"/>
  <c r="U264" i="2"/>
  <c r="U257" i="2"/>
  <c r="P257" i="2"/>
  <c r="S174" i="2"/>
  <c r="S117" i="2"/>
  <c r="P217" i="2"/>
  <c r="U243" i="2"/>
  <c r="S53" i="2"/>
  <c r="S263" i="2"/>
  <c r="P6" i="2"/>
  <c r="O105" i="2"/>
  <c r="O2" i="2"/>
  <c r="S166" i="2"/>
  <c r="P239" i="2"/>
  <c r="U199" i="2"/>
  <c r="I2" i="2"/>
  <c r="S215" i="2"/>
  <c r="S22" i="2"/>
  <c r="U2" i="2"/>
  <c r="U166" i="2"/>
  <c r="U94" i="2"/>
  <c r="H94" i="2"/>
  <c r="H153" i="2"/>
  <c r="I153" i="2"/>
  <c r="H22" i="2"/>
  <c r="U22" i="2"/>
  <c r="H215" i="2"/>
  <c r="S153" i="2"/>
  <c r="S108" i="2"/>
  <c r="O153" i="2"/>
  <c r="U108" i="2"/>
  <c r="P124" i="2"/>
  <c r="I166" i="2"/>
  <c r="S199" i="2"/>
  <c r="H239" i="2"/>
  <c r="H108" i="2"/>
  <c r="O94" i="2"/>
  <c r="U215" i="2"/>
  <c r="T2" i="2"/>
  <c r="O215" i="2"/>
  <c r="O124" i="2"/>
  <c r="T124" i="2"/>
  <c r="S124" i="2"/>
  <c r="S94" i="2"/>
  <c r="P22" i="2"/>
  <c r="P215" i="2"/>
  <c r="P166" i="2"/>
  <c r="I124" i="2"/>
  <c r="T239" i="2"/>
  <c r="I239" i="2"/>
  <c r="P94" i="2"/>
  <c r="I199" i="2"/>
  <c r="U239" i="2"/>
  <c r="U153" i="2"/>
  <c r="H2" i="2"/>
  <c r="T199" i="2"/>
  <c r="O166" i="2"/>
  <c r="P2" i="2"/>
  <c r="P199" i="2"/>
  <c r="P108" i="2"/>
  <c r="T22" i="2"/>
  <c r="T166" i="2"/>
  <c r="U124" i="2"/>
  <c r="I108" i="2"/>
  <c r="P153" i="2"/>
  <c r="I215" i="2"/>
  <c r="S239" i="2"/>
  <c r="I94" i="2"/>
  <c r="O22" i="2"/>
  <c r="T108" i="2"/>
  <c r="O199" i="2"/>
  <c r="H166" i="2"/>
  <c r="S2" i="2"/>
  <c r="H199" i="2"/>
  <c r="I22" i="2"/>
  <c r="T153" i="2"/>
  <c r="O108" i="2"/>
  <c r="H124" i="2"/>
  <c r="T94" i="2"/>
  <c r="O239" i="2"/>
  <c r="T215" i="2"/>
  <c r="P233" i="2"/>
  <c r="T131" i="2"/>
  <c r="U233" i="2"/>
  <c r="P10" i="2"/>
  <c r="H10" i="2"/>
  <c r="U133" i="2"/>
  <c r="I204" i="2"/>
  <c r="S10" i="2"/>
  <c r="I60" i="2"/>
  <c r="S133" i="2"/>
  <c r="S89" i="2"/>
  <c r="U131" i="2"/>
  <c r="O60" i="2"/>
  <c r="H131" i="2"/>
  <c r="I89" i="2"/>
  <c r="I131" i="2"/>
  <c r="U204" i="2"/>
  <c r="O233" i="2"/>
  <c r="I158" i="2"/>
  <c r="H100" i="2"/>
  <c r="U100" i="2"/>
  <c r="U89" i="2"/>
  <c r="P158" i="2"/>
  <c r="I100" i="2"/>
  <c r="T100" i="2"/>
  <c r="T133" i="2"/>
  <c r="O89" i="2"/>
  <c r="T10" i="2"/>
  <c r="T233" i="2"/>
  <c r="U158" i="2"/>
  <c r="S100" i="2"/>
  <c r="I252" i="2"/>
  <c r="H252" i="2"/>
  <c r="U60" i="2"/>
  <c r="I133" i="2"/>
  <c r="U252" i="2"/>
  <c r="I233" i="2"/>
  <c r="O131" i="2"/>
  <c r="P131" i="2"/>
  <c r="O10" i="2"/>
  <c r="T252" i="2"/>
  <c r="P89" i="2"/>
  <c r="I10" i="2"/>
  <c r="H89" i="2"/>
  <c r="P60" i="2"/>
  <c r="T158" i="2"/>
  <c r="S233" i="2"/>
  <c r="O133" i="2"/>
  <c r="S131" i="2"/>
  <c r="H60" i="2"/>
  <c r="T204" i="2"/>
  <c r="S158" i="2"/>
  <c r="S60" i="2"/>
  <c r="P204" i="2"/>
  <c r="P252" i="2"/>
  <c r="O204" i="2"/>
  <c r="O158" i="2"/>
  <c r="O100" i="2"/>
  <c r="P133" i="2"/>
  <c r="S252" i="2"/>
  <c r="H204" i="2"/>
  <c r="H133" i="2"/>
  <c r="T60" i="2"/>
  <c r="H233" i="2"/>
  <c r="P100" i="2"/>
  <c r="H158" i="2"/>
  <c r="S204" i="2"/>
  <c r="U10" i="2"/>
  <c r="O252" i="2"/>
  <c r="T89" i="2"/>
  <c r="I156" i="2"/>
  <c r="T156" i="2"/>
  <c r="O99" i="2"/>
  <c r="O49" i="2"/>
  <c r="U87" i="2"/>
  <c r="P268" i="2"/>
  <c r="O285" i="2"/>
  <c r="P87" i="2"/>
  <c r="P285" i="2"/>
  <c r="O9" i="2"/>
  <c r="H99" i="2"/>
  <c r="T285" i="2"/>
  <c r="U171" i="2"/>
  <c r="O171" i="2"/>
  <c r="S285" i="2"/>
  <c r="O156" i="2"/>
  <c r="H156" i="2"/>
  <c r="T87" i="2"/>
  <c r="P49" i="2"/>
  <c r="P9" i="2"/>
  <c r="T49" i="2"/>
  <c r="P171" i="2"/>
  <c r="S99" i="2"/>
  <c r="H30" i="2"/>
  <c r="H49" i="2"/>
  <c r="S9" i="2"/>
  <c r="U49" i="2"/>
  <c r="O238" i="2"/>
  <c r="U9" i="2"/>
  <c r="I49" i="2"/>
  <c r="H238" i="2"/>
  <c r="U238" i="2"/>
  <c r="U30" i="2"/>
  <c r="S49" i="2"/>
  <c r="S87" i="2"/>
  <c r="O268" i="2"/>
  <c r="O30" i="2"/>
  <c r="S156" i="2"/>
  <c r="T238" i="2"/>
  <c r="H171" i="2"/>
  <c r="I9" i="2"/>
  <c r="S30" i="2"/>
  <c r="I285" i="2"/>
  <c r="I238" i="2"/>
  <c r="I171" i="2"/>
  <c r="U268" i="2"/>
  <c r="H268" i="2"/>
  <c r="P99" i="2"/>
  <c r="S238" i="2"/>
  <c r="I99" i="2"/>
  <c r="T268" i="2"/>
  <c r="U99" i="2"/>
  <c r="I268" i="2"/>
  <c r="P30" i="2"/>
  <c r="T9" i="2"/>
  <c r="O87" i="2"/>
  <c r="U156" i="2"/>
  <c r="T30" i="2"/>
  <c r="H87" i="2"/>
  <c r="T99" i="2"/>
  <c r="H285" i="2"/>
  <c r="P238" i="2"/>
  <c r="T171" i="2"/>
  <c r="S171" i="2"/>
  <c r="S268" i="2"/>
  <c r="H9" i="2"/>
  <c r="P156" i="2"/>
  <c r="I30" i="2"/>
  <c r="I87" i="2"/>
  <c r="U285" i="2"/>
  <c r="O195" i="2"/>
  <c r="H127" i="2"/>
  <c r="T180" i="2"/>
  <c r="O183" i="2"/>
  <c r="O86" i="2"/>
  <c r="T277" i="2"/>
  <c r="O112" i="2"/>
  <c r="S86" i="2"/>
  <c r="U38" i="2"/>
  <c r="P52" i="2"/>
  <c r="S161" i="2"/>
  <c r="P42" i="2"/>
  <c r="P127" i="2"/>
  <c r="I42" i="2"/>
  <c r="I4" i="2"/>
  <c r="P122" i="2"/>
  <c r="S180" i="2"/>
  <c r="S97" i="2"/>
  <c r="T255" i="2"/>
  <c r="U127" i="2"/>
  <c r="I52" i="2"/>
  <c r="I195" i="2"/>
  <c r="S222" i="2"/>
  <c r="T183" i="2"/>
  <c r="S52" i="2"/>
  <c r="P222" i="2"/>
  <c r="U97" i="2"/>
  <c r="S195" i="2"/>
  <c r="S112" i="2"/>
  <c r="H225" i="2"/>
  <c r="H195" i="2"/>
  <c r="H277" i="2"/>
  <c r="O52" i="2"/>
  <c r="O180" i="2"/>
  <c r="S277" i="2"/>
  <c r="U183" i="2"/>
  <c r="H255" i="2"/>
  <c r="U209" i="2"/>
  <c r="I255" i="2"/>
  <c r="P225" i="2"/>
  <c r="H86" i="2"/>
  <c r="U255" i="2"/>
  <c r="P97" i="2"/>
  <c r="S225" i="2"/>
  <c r="O255" i="2"/>
  <c r="I209" i="2"/>
  <c r="U155" i="2"/>
  <c r="U277" i="2"/>
  <c r="P4" i="2"/>
  <c r="T4" i="2"/>
  <c r="S255" i="2"/>
  <c r="O38" i="2"/>
  <c r="S183" i="2"/>
  <c r="T225" i="2"/>
  <c r="P255" i="2"/>
  <c r="T127" i="2"/>
  <c r="H183" i="2"/>
  <c r="U52" i="2"/>
  <c r="H209" i="2"/>
  <c r="U112" i="2"/>
  <c r="O127" i="2"/>
  <c r="I155" i="2"/>
  <c r="P277" i="2"/>
  <c r="O97" i="2"/>
  <c r="O225" i="2"/>
  <c r="I180" i="2"/>
  <c r="T116" i="2"/>
  <c r="I277" i="2"/>
  <c r="H180" i="2"/>
  <c r="P180" i="2"/>
  <c r="T42" i="2"/>
  <c r="H42" i="2"/>
  <c r="T222" i="2"/>
  <c r="U225" i="2"/>
  <c r="P112" i="2"/>
  <c r="P161" i="2"/>
  <c r="T112" i="2"/>
  <c r="S155" i="2"/>
  <c r="O222" i="2"/>
  <c r="T52" i="2"/>
  <c r="P209" i="2"/>
  <c r="H4" i="2"/>
  <c r="H38" i="2"/>
  <c r="T155" i="2"/>
  <c r="I86" i="2"/>
  <c r="H122" i="2"/>
  <c r="T195" i="2"/>
  <c r="O155" i="2"/>
  <c r="T97" i="2"/>
  <c r="U116" i="2"/>
  <c r="T122" i="2"/>
  <c r="U86" i="2"/>
  <c r="S116" i="2"/>
  <c r="I38" i="2"/>
  <c r="S42" i="2"/>
  <c r="S127" i="2"/>
  <c r="I161" i="2"/>
  <c r="O122" i="2"/>
  <c r="U122" i="2"/>
  <c r="I112" i="2"/>
  <c r="P116" i="2"/>
  <c r="S4" i="2"/>
  <c r="I127" i="2"/>
  <c r="P155" i="2"/>
  <c r="S122" i="2"/>
  <c r="O161" i="2"/>
  <c r="U4" i="2"/>
  <c r="I183" i="2"/>
  <c r="I225" i="2"/>
  <c r="U222" i="2"/>
  <c r="H97" i="2"/>
  <c r="O116" i="2"/>
  <c r="H161" i="2"/>
  <c r="P38" i="2"/>
  <c r="U42" i="2"/>
  <c r="U195" i="2"/>
  <c r="H222" i="2"/>
  <c r="S209" i="2"/>
  <c r="U161" i="2"/>
  <c r="S38" i="2"/>
  <c r="T38" i="2"/>
  <c r="T209" i="2"/>
  <c r="I97" i="2"/>
  <c r="H116" i="2"/>
  <c r="P86" i="2"/>
  <c r="O42" i="2"/>
  <c r="T86" i="2"/>
  <c r="T161" i="2"/>
  <c r="H52" i="2"/>
  <c r="U180" i="2"/>
  <c r="I122" i="2"/>
  <c r="P195" i="2"/>
  <c r="O209" i="2"/>
  <c r="I222" i="2"/>
  <c r="H112" i="2"/>
  <c r="H155" i="2"/>
  <c r="P183" i="2"/>
  <c r="I116" i="2"/>
  <c r="O277" i="2"/>
  <c r="O4" i="2"/>
  <c r="T66" i="2"/>
  <c r="O237" i="2"/>
  <c r="O193" i="2"/>
  <c r="S151" i="2"/>
  <c r="O254" i="2"/>
  <c r="U193" i="2"/>
  <c r="P276" i="2"/>
  <c r="I151" i="2"/>
  <c r="P163" i="2"/>
  <c r="S5" i="2"/>
  <c r="I276" i="2"/>
  <c r="P193" i="2"/>
  <c r="T276" i="2"/>
  <c r="I237" i="2"/>
  <c r="H151" i="2"/>
  <c r="O56" i="2"/>
  <c r="H66" i="2"/>
  <c r="T56" i="2"/>
  <c r="I56" i="2"/>
  <c r="P66" i="2"/>
  <c r="U254" i="2"/>
  <c r="O66" i="2"/>
  <c r="I66" i="2"/>
  <c r="O163" i="2"/>
  <c r="P267" i="2"/>
  <c r="O5" i="2"/>
  <c r="I254" i="2"/>
  <c r="U237" i="2"/>
  <c r="U267" i="2"/>
  <c r="H267" i="2"/>
  <c r="T151" i="2"/>
  <c r="U276" i="2"/>
  <c r="S163" i="2"/>
  <c r="T254" i="2"/>
  <c r="S237" i="2"/>
  <c r="P237" i="2"/>
  <c r="I163" i="2"/>
  <c r="S254" i="2"/>
  <c r="P5" i="2"/>
  <c r="H163" i="2"/>
  <c r="S193" i="2"/>
  <c r="P151" i="2"/>
  <c r="H276" i="2"/>
  <c r="H237" i="2"/>
  <c r="T5" i="2"/>
  <c r="P254" i="2"/>
  <c r="S66" i="2"/>
  <c r="U66" i="2"/>
  <c r="S56" i="2"/>
  <c r="H56" i="2"/>
  <c r="I267" i="2"/>
  <c r="H5" i="2"/>
  <c r="O151" i="2"/>
  <c r="T267" i="2"/>
  <c r="S267" i="2"/>
  <c r="H193" i="2"/>
  <c r="P56" i="2"/>
  <c r="U163" i="2"/>
  <c r="O276" i="2"/>
  <c r="I193" i="2"/>
  <c r="I5" i="2"/>
  <c r="O267" i="2"/>
  <c r="U56" i="2"/>
  <c r="T193" i="2"/>
  <c r="U151" i="2"/>
  <c r="U5" i="2"/>
  <c r="T237" i="2"/>
  <c r="S276" i="2"/>
  <c r="H254" i="2"/>
  <c r="T163" i="2"/>
  <c r="H189" i="2"/>
  <c r="I120" i="2"/>
  <c r="T82" i="2"/>
  <c r="O120" i="2"/>
  <c r="T120" i="2"/>
  <c r="H13" i="2"/>
  <c r="S13" i="2"/>
  <c r="S211" i="2"/>
  <c r="H35" i="2"/>
  <c r="S35" i="2"/>
  <c r="O13" i="2"/>
  <c r="H211" i="2"/>
  <c r="H123" i="2"/>
  <c r="I211" i="2"/>
  <c r="U77" i="2"/>
  <c r="S77" i="2"/>
  <c r="O123" i="2"/>
  <c r="I82" i="2"/>
  <c r="P77" i="2"/>
  <c r="U189" i="2"/>
  <c r="S123" i="2"/>
  <c r="U123" i="2"/>
  <c r="I77" i="2"/>
  <c r="O82" i="2"/>
  <c r="O197" i="2"/>
  <c r="H197" i="2"/>
  <c r="T35" i="2"/>
  <c r="I35" i="2"/>
  <c r="H110" i="2"/>
  <c r="U211" i="2"/>
  <c r="O77" i="2"/>
  <c r="P197" i="2"/>
  <c r="H77" i="2"/>
  <c r="O110" i="2"/>
  <c r="S82" i="2"/>
  <c r="S189" i="2"/>
  <c r="U13" i="2"/>
  <c r="I13" i="2"/>
  <c r="I189" i="2"/>
  <c r="P13" i="2"/>
  <c r="S120" i="2"/>
  <c r="P189" i="2"/>
  <c r="S110" i="2"/>
  <c r="U35" i="2"/>
  <c r="S197" i="2"/>
  <c r="P82" i="2"/>
  <c r="T13" i="2"/>
  <c r="P123" i="2"/>
  <c r="O211" i="2"/>
  <c r="T197" i="2"/>
  <c r="O35" i="2"/>
  <c r="I110" i="2"/>
  <c r="U120" i="2"/>
  <c r="P120" i="2"/>
  <c r="P110" i="2"/>
  <c r="I123" i="2"/>
  <c r="U110" i="2"/>
  <c r="T211" i="2"/>
  <c r="U82" i="2"/>
  <c r="U197" i="2"/>
  <c r="O189" i="2"/>
  <c r="I197" i="2"/>
  <c r="H82" i="2"/>
  <c r="T123" i="2"/>
  <c r="T110" i="2"/>
  <c r="P35" i="2"/>
  <c r="T189" i="2"/>
  <c r="H120" i="2"/>
  <c r="T77" i="2"/>
  <c r="P211" i="2"/>
  <c r="T170" i="2"/>
  <c r="I289" i="2"/>
  <c r="P90" i="2"/>
  <c r="H170" i="2"/>
  <c r="U90" i="2"/>
  <c r="O85" i="2"/>
  <c r="H85" i="2"/>
  <c r="T85" i="2"/>
  <c r="H289" i="2"/>
  <c r="S269" i="2"/>
  <c r="I292" i="2"/>
  <c r="O139" i="2"/>
  <c r="I70" i="2"/>
  <c r="S139" i="2"/>
  <c r="P292" i="2"/>
  <c r="O70" i="2"/>
  <c r="I63" i="2"/>
  <c r="S289" i="2"/>
  <c r="P70" i="2"/>
  <c r="T63" i="2"/>
  <c r="S292" i="2"/>
  <c r="T220" i="2"/>
  <c r="P63" i="2"/>
  <c r="U269" i="2"/>
  <c r="O63" i="2"/>
  <c r="I139" i="2"/>
  <c r="T90" i="2"/>
  <c r="P139" i="2"/>
  <c r="U292" i="2"/>
  <c r="T139" i="2"/>
  <c r="O170" i="2"/>
  <c r="I269" i="2"/>
  <c r="T269" i="2"/>
  <c r="U220" i="2"/>
  <c r="S85" i="2"/>
  <c r="H220" i="2"/>
  <c r="U289" i="2"/>
  <c r="S220" i="2"/>
  <c r="P289" i="2"/>
  <c r="H70" i="2"/>
  <c r="T70" i="2"/>
  <c r="O220" i="2"/>
  <c r="I85" i="2"/>
  <c r="O269" i="2"/>
  <c r="P170" i="2"/>
  <c r="S90" i="2"/>
  <c r="T289" i="2"/>
  <c r="U170" i="2"/>
  <c r="U139" i="2"/>
  <c r="H90" i="2"/>
  <c r="I170" i="2"/>
  <c r="O292" i="2"/>
  <c r="U70" i="2"/>
  <c r="I220" i="2"/>
  <c r="P85" i="2"/>
  <c r="H269" i="2"/>
  <c r="I90" i="2"/>
  <c r="T292" i="2"/>
  <c r="U63" i="2"/>
  <c r="S70" i="2"/>
  <c r="H63" i="2"/>
  <c r="H292" i="2"/>
  <c r="S170" i="2"/>
  <c r="H139" i="2"/>
  <c r="O90" i="2"/>
  <c r="S63" i="2"/>
  <c r="O289" i="2"/>
  <c r="U85" i="2"/>
  <c r="P220" i="2"/>
  <c r="P269" i="2"/>
  <c r="P253" i="2"/>
  <c r="P18" i="2"/>
  <c r="O253" i="2"/>
  <c r="I76" i="2"/>
  <c r="T261" i="2"/>
  <c r="U91" i="2"/>
  <c r="S143" i="2"/>
  <c r="U253" i="2"/>
  <c r="S235" i="2"/>
  <c r="P130" i="2"/>
  <c r="P76" i="2"/>
  <c r="H261" i="2"/>
  <c r="I154" i="2"/>
  <c r="U76" i="2"/>
  <c r="I253" i="2"/>
  <c r="T235" i="2"/>
  <c r="I74" i="2"/>
  <c r="T18" i="2"/>
  <c r="U235" i="2"/>
  <c r="O18" i="2"/>
  <c r="O130" i="2"/>
  <c r="H143" i="2"/>
  <c r="O154" i="2"/>
  <c r="U130" i="2"/>
  <c r="I91" i="2"/>
  <c r="U154" i="2"/>
  <c r="O74" i="2"/>
  <c r="H91" i="2"/>
  <c r="I130" i="2"/>
  <c r="U74" i="2"/>
  <c r="T76" i="2"/>
  <c r="P74" i="2"/>
  <c r="O76" i="2"/>
  <c r="P154" i="2"/>
  <c r="T143" i="2"/>
  <c r="P235" i="2"/>
  <c r="P91" i="2"/>
  <c r="O235" i="2"/>
  <c r="H76" i="2"/>
  <c r="H74" i="2"/>
  <c r="O91" i="2"/>
  <c r="H253" i="2"/>
  <c r="U143" i="2"/>
  <c r="I235" i="2"/>
  <c r="S18" i="2"/>
  <c r="O143" i="2"/>
  <c r="O261" i="2"/>
  <c r="H18" i="2"/>
  <c r="S253" i="2"/>
  <c r="I18" i="2"/>
  <c r="I261" i="2"/>
  <c r="I143" i="2"/>
  <c r="H130" i="2"/>
  <c r="S130" i="2"/>
  <c r="T74" i="2"/>
  <c r="S74" i="2"/>
  <c r="H154" i="2"/>
  <c r="S154" i="2"/>
  <c r="T91" i="2"/>
  <c r="S76" i="2"/>
  <c r="P261" i="2"/>
  <c r="U261" i="2"/>
  <c r="U18" i="2"/>
  <c r="T154" i="2"/>
  <c r="H235" i="2"/>
  <c r="S91" i="2"/>
  <c r="P143" i="2"/>
  <c r="T253" i="2"/>
  <c r="T130" i="2"/>
  <c r="U24" i="2"/>
  <c r="S260" i="2"/>
  <c r="U250" i="2"/>
  <c r="U50" i="2"/>
  <c r="I286" i="2"/>
  <c r="H121" i="2"/>
  <c r="O24" i="2"/>
  <c r="P260" i="2"/>
  <c r="U260" i="2"/>
  <c r="O140" i="2"/>
  <c r="O260" i="2"/>
  <c r="O286" i="2"/>
  <c r="S121" i="2"/>
  <c r="H231" i="2"/>
  <c r="P286" i="2"/>
  <c r="P67" i="2"/>
  <c r="O67" i="2"/>
  <c r="U231" i="2"/>
  <c r="H140" i="2"/>
  <c r="S24" i="2"/>
  <c r="I231" i="2"/>
  <c r="O121" i="2"/>
  <c r="T286" i="2"/>
  <c r="I50" i="2"/>
  <c r="P24" i="2"/>
  <c r="I260" i="2"/>
  <c r="O203" i="2"/>
  <c r="S203" i="2"/>
  <c r="H260" i="2"/>
  <c r="T140" i="2"/>
  <c r="I203" i="2"/>
  <c r="T260" i="2"/>
  <c r="P121" i="2"/>
  <c r="I250" i="2"/>
  <c r="T50" i="2"/>
  <c r="P50" i="2"/>
  <c r="S286" i="2"/>
  <c r="P231" i="2"/>
  <c r="T250" i="2"/>
  <c r="H203" i="2"/>
  <c r="H250" i="2"/>
  <c r="U203" i="2"/>
  <c r="U140" i="2"/>
  <c r="S231" i="2"/>
  <c r="H286" i="2"/>
  <c r="T231" i="2"/>
  <c r="H50" i="2"/>
  <c r="P140" i="2"/>
  <c r="P203" i="2"/>
  <c r="I24" i="2"/>
  <c r="O250" i="2"/>
  <c r="S50" i="2"/>
  <c r="H67" i="2"/>
  <c r="T24" i="2"/>
  <c r="S140" i="2"/>
  <c r="U67" i="2"/>
  <c r="S67" i="2"/>
  <c r="P250" i="2"/>
  <c r="S250" i="2"/>
  <c r="U121" i="2"/>
  <c r="I67" i="2"/>
  <c r="I121" i="2"/>
  <c r="T121" i="2"/>
  <c r="H24" i="2"/>
  <c r="I140" i="2"/>
  <c r="O50" i="2"/>
  <c r="U286" i="2"/>
  <c r="O231" i="2"/>
  <c r="T203" i="2"/>
  <c r="T67" i="2"/>
  <c r="I181" i="2"/>
  <c r="O73" i="2"/>
  <c r="H169" i="2"/>
  <c r="P21" i="2"/>
  <c r="O169" i="2"/>
  <c r="U21" i="2"/>
  <c r="H181" i="2"/>
  <c r="I17" i="2"/>
  <c r="S169" i="2"/>
  <c r="T246" i="2"/>
  <c r="U246" i="2"/>
  <c r="U59" i="2"/>
  <c r="U17" i="2"/>
  <c r="O246" i="2"/>
  <c r="U134" i="2"/>
  <c r="U248" i="2"/>
  <c r="S59" i="2"/>
  <c r="I178" i="2"/>
  <c r="S134" i="2"/>
  <c r="T134" i="2"/>
  <c r="S73" i="2"/>
  <c r="I134" i="2"/>
  <c r="P248" i="2"/>
  <c r="O248" i="2"/>
  <c r="O134" i="2"/>
  <c r="H21" i="2"/>
  <c r="U73" i="2"/>
  <c r="T181" i="2"/>
  <c r="I248" i="2"/>
  <c r="P59" i="2"/>
  <c r="S248" i="2"/>
  <c r="I21" i="2"/>
  <c r="T248" i="2"/>
  <c r="S181" i="2"/>
  <c r="H59" i="2"/>
  <c r="O178" i="2"/>
  <c r="H246" i="2"/>
  <c r="I169" i="2"/>
  <c r="T17" i="2"/>
  <c r="P169" i="2"/>
  <c r="U181" i="2"/>
  <c r="P134" i="2"/>
  <c r="I59" i="2"/>
  <c r="S17" i="2"/>
  <c r="P246" i="2"/>
  <c r="T73" i="2"/>
  <c r="S178" i="2"/>
  <c r="O17" i="2"/>
  <c r="T21" i="2"/>
  <c r="U169" i="2"/>
  <c r="O21" i="2"/>
  <c r="P181" i="2"/>
  <c r="T178" i="2"/>
  <c r="U178" i="2"/>
  <c r="O59" i="2"/>
  <c r="I73" i="2"/>
  <c r="H73" i="2"/>
  <c r="H17" i="2"/>
  <c r="P178" i="2"/>
  <c r="S246" i="2"/>
  <c r="O181" i="2"/>
  <c r="S21" i="2"/>
  <c r="H248" i="2"/>
  <c r="P73" i="2"/>
  <c r="T169" i="2"/>
  <c r="T59" i="2"/>
  <c r="H134" i="2"/>
  <c r="P17" i="2"/>
  <c r="I246" i="2"/>
  <c r="H178" i="2"/>
  <c r="T168" i="2"/>
  <c r="O202" i="2"/>
  <c r="P26" i="2"/>
  <c r="S114" i="2"/>
  <c r="P202" i="2"/>
  <c r="I125" i="2"/>
  <c r="H223" i="2"/>
  <c r="H212" i="2"/>
  <c r="S223" i="2"/>
  <c r="U107" i="2"/>
  <c r="P223" i="2"/>
  <c r="I223" i="2"/>
  <c r="I107" i="2"/>
  <c r="T223" i="2"/>
  <c r="O26" i="2"/>
  <c r="S258" i="2"/>
  <c r="P114" i="2"/>
  <c r="U202" i="2"/>
  <c r="H168" i="2"/>
  <c r="I114" i="2"/>
  <c r="S212" i="2"/>
  <c r="H258" i="2"/>
  <c r="T138" i="2"/>
  <c r="P258" i="2"/>
  <c r="O138" i="2"/>
  <c r="S125" i="2"/>
  <c r="U138" i="2"/>
  <c r="H125" i="2"/>
  <c r="H26" i="2"/>
  <c r="S107" i="2"/>
  <c r="O125" i="2"/>
  <c r="P138" i="2"/>
  <c r="I212" i="2"/>
  <c r="O223" i="2"/>
  <c r="P107" i="2"/>
  <c r="P212" i="2"/>
  <c r="O258" i="2"/>
  <c r="U114" i="2"/>
  <c r="U125" i="2"/>
  <c r="I168" i="2"/>
  <c r="H107" i="2"/>
  <c r="S202" i="2"/>
  <c r="T125" i="2"/>
  <c r="H138" i="2"/>
  <c r="P168" i="2"/>
  <c r="H202" i="2"/>
  <c r="O114" i="2"/>
  <c r="T114" i="2"/>
  <c r="T107" i="2"/>
  <c r="I26" i="2"/>
  <c r="T26" i="2"/>
  <c r="S138" i="2"/>
  <c r="O212" i="2"/>
  <c r="T212" i="2"/>
  <c r="I258" i="2"/>
  <c r="U26" i="2"/>
  <c r="S168" i="2"/>
  <c r="U258" i="2"/>
  <c r="O168" i="2"/>
  <c r="T202" i="2"/>
  <c r="I202" i="2"/>
  <c r="P125" i="2"/>
  <c r="T258" i="2"/>
  <c r="U223" i="2"/>
  <c r="O107" i="2"/>
  <c r="H114" i="2"/>
  <c r="U212" i="2"/>
  <c r="I138" i="2"/>
  <c r="U168" i="2"/>
  <c r="S26" i="2"/>
  <c r="H147" i="2"/>
  <c r="S251" i="2"/>
  <c r="I62" i="2"/>
  <c r="S96" i="2"/>
  <c r="U242" i="2"/>
  <c r="H141" i="2"/>
  <c r="S270" i="2"/>
  <c r="O96" i="2"/>
  <c r="P141" i="2"/>
  <c r="P147" i="2"/>
  <c r="O270" i="2"/>
  <c r="I207" i="2"/>
  <c r="U147" i="2"/>
  <c r="I251" i="2"/>
  <c r="I175" i="2"/>
  <c r="U251" i="2"/>
  <c r="S141" i="2"/>
  <c r="U96" i="2"/>
  <c r="H242" i="2"/>
  <c r="T175" i="2"/>
  <c r="O251" i="2"/>
  <c r="P293" i="2"/>
  <c r="H270" i="2"/>
  <c r="O242" i="2"/>
  <c r="H293" i="2"/>
  <c r="U270" i="2"/>
  <c r="S175" i="2"/>
  <c r="U207" i="2"/>
  <c r="S62" i="2"/>
  <c r="P175" i="2"/>
  <c r="T147" i="2"/>
  <c r="I147" i="2"/>
  <c r="I293" i="2"/>
  <c r="O293" i="2"/>
  <c r="H207" i="2"/>
  <c r="T270" i="2"/>
  <c r="O141" i="2"/>
  <c r="U141" i="2"/>
  <c r="I96" i="2"/>
  <c r="U62" i="2"/>
  <c r="H96" i="2"/>
  <c r="U175" i="2"/>
  <c r="T141" i="2"/>
  <c r="S207" i="2"/>
  <c r="T251" i="2"/>
  <c r="T293" i="2"/>
  <c r="T62" i="2"/>
  <c r="P96" i="2"/>
  <c r="O147" i="2"/>
  <c r="S293" i="2"/>
  <c r="O207" i="2"/>
  <c r="I242" i="2"/>
  <c r="P207" i="2"/>
  <c r="I270" i="2"/>
  <c r="O62" i="2"/>
  <c r="H62" i="2"/>
  <c r="U293" i="2"/>
  <c r="H251" i="2"/>
  <c r="H175" i="2"/>
  <c r="P242" i="2"/>
  <c r="S242" i="2"/>
  <c r="S147" i="2"/>
  <c r="O175" i="2"/>
  <c r="T96" i="2"/>
  <c r="P270" i="2"/>
  <c r="P62" i="2"/>
  <c r="T207" i="2"/>
  <c r="I141" i="2"/>
  <c r="T242" i="2"/>
  <c r="P251" i="2"/>
  <c r="O167" i="2"/>
  <c r="T214" i="2"/>
  <c r="I214" i="2"/>
  <c r="U12" i="2"/>
  <c r="H214" i="2"/>
  <c r="P214" i="2"/>
  <c r="I152" i="2"/>
  <c r="T152" i="2"/>
  <c r="H234" i="2"/>
  <c r="H200" i="2"/>
  <c r="O159" i="2"/>
  <c r="S152" i="2"/>
  <c r="H167" i="2"/>
  <c r="P234" i="2"/>
  <c r="I12" i="2"/>
  <c r="S214" i="2"/>
  <c r="I274" i="2"/>
  <c r="O200" i="2"/>
  <c r="S159" i="2"/>
  <c r="I159" i="2"/>
  <c r="S103" i="2"/>
  <c r="S167" i="2"/>
  <c r="S234" i="2"/>
  <c r="T200" i="2"/>
  <c r="P12" i="2"/>
  <c r="S12" i="2"/>
  <c r="I167" i="2"/>
  <c r="P152" i="2"/>
  <c r="T167" i="2"/>
  <c r="H152" i="2"/>
  <c r="U200" i="2"/>
  <c r="P200" i="2"/>
  <c r="T234" i="2"/>
  <c r="S200" i="2"/>
  <c r="H12" i="2"/>
  <c r="P167" i="2"/>
  <c r="U274" i="2"/>
  <c r="O234" i="2"/>
  <c r="I103" i="2"/>
  <c r="S136" i="2"/>
  <c r="T12" i="2"/>
  <c r="H103" i="2"/>
  <c r="S274" i="2"/>
  <c r="U103" i="2"/>
  <c r="T274" i="2"/>
  <c r="O274" i="2"/>
  <c r="U152" i="2"/>
  <c r="P274" i="2"/>
  <c r="P136" i="2"/>
  <c r="U234" i="2"/>
  <c r="U136" i="2"/>
  <c r="I136" i="2"/>
  <c r="P159" i="2"/>
  <c r="O103" i="2"/>
  <c r="O214" i="2"/>
  <c r="U159" i="2"/>
  <c r="H159" i="2"/>
  <c r="O136" i="2"/>
  <c r="T103" i="2"/>
  <c r="T136" i="2"/>
  <c r="I234" i="2"/>
  <c r="P103" i="2"/>
  <c r="U214" i="2"/>
  <c r="O12" i="2"/>
  <c r="H274" i="2"/>
  <c r="U167" i="2"/>
  <c r="I200" i="2"/>
  <c r="O152" i="2"/>
  <c r="H136" i="2"/>
  <c r="T159" i="2"/>
  <c r="P188" i="2"/>
  <c r="U25" i="2"/>
  <c r="T27" i="2"/>
  <c r="H113" i="2"/>
  <c r="T58" i="2"/>
  <c r="T182" i="2"/>
  <c r="U182" i="2"/>
  <c r="S228" i="2"/>
  <c r="O146" i="2"/>
  <c r="I11" i="2"/>
  <c r="T188" i="2"/>
  <c r="H210" i="2"/>
  <c r="O188" i="2"/>
  <c r="O11" i="2"/>
  <c r="S25" i="2"/>
  <c r="P27" i="2"/>
  <c r="I188" i="2"/>
  <c r="H228" i="2"/>
  <c r="P11" i="2"/>
  <c r="O182" i="2"/>
  <c r="U11" i="2"/>
  <c r="O58" i="2"/>
  <c r="S188" i="2"/>
  <c r="I113" i="2"/>
  <c r="O210" i="2"/>
  <c r="T25" i="2"/>
  <c r="I146" i="2"/>
  <c r="I58" i="2"/>
  <c r="I228" i="2"/>
  <c r="P58" i="2"/>
  <c r="S27" i="2"/>
  <c r="P25" i="2"/>
  <c r="S210" i="2"/>
  <c r="O25" i="2"/>
  <c r="H182" i="2"/>
  <c r="P228" i="2"/>
  <c r="T113" i="2"/>
  <c r="I210" i="2"/>
  <c r="U113" i="2"/>
  <c r="T11" i="2"/>
  <c r="H146" i="2"/>
  <c r="S58" i="2"/>
  <c r="S113" i="2"/>
  <c r="U27" i="2"/>
  <c r="I25" i="2"/>
  <c r="P113" i="2"/>
  <c r="U58" i="2"/>
  <c r="T210" i="2"/>
  <c r="S182" i="2"/>
  <c r="H188" i="2"/>
  <c r="P146" i="2"/>
  <c r="T228" i="2"/>
  <c r="P182" i="2"/>
  <c r="U210" i="2"/>
  <c r="H27" i="2"/>
  <c r="U228" i="2"/>
  <c r="T146" i="2"/>
  <c r="I27" i="2"/>
  <c r="S11" i="2"/>
  <c r="S146" i="2"/>
  <c r="H25" i="2"/>
  <c r="U146" i="2"/>
  <c r="O228" i="2"/>
  <c r="I182" i="2"/>
  <c r="H58" i="2"/>
  <c r="O27" i="2"/>
  <c r="O113" i="2"/>
  <c r="H11" i="2"/>
  <c r="U188" i="2"/>
  <c r="P210" i="2"/>
  <c r="U160" i="2"/>
  <c r="H160" i="2"/>
  <c r="I283" i="2"/>
  <c r="S194" i="2"/>
  <c r="T160" i="2"/>
  <c r="H232" i="2"/>
  <c r="I194" i="2"/>
  <c r="S232" i="2"/>
  <c r="T262" i="2"/>
  <c r="O232" i="2"/>
  <c r="T283" i="2"/>
  <c r="U137" i="2"/>
  <c r="T137" i="2"/>
  <c r="S271" i="2"/>
  <c r="H177" i="2"/>
  <c r="I177" i="2"/>
  <c r="T232" i="2"/>
  <c r="P283" i="2"/>
  <c r="H137" i="2"/>
  <c r="U28" i="2"/>
  <c r="I271" i="2"/>
  <c r="S283" i="2"/>
  <c r="I102" i="2"/>
  <c r="O194" i="2"/>
  <c r="U102" i="2"/>
  <c r="O262" i="2"/>
  <c r="P262" i="2"/>
  <c r="I137" i="2"/>
  <c r="S262" i="2"/>
  <c r="H102" i="2"/>
  <c r="S177" i="2"/>
  <c r="O102" i="2"/>
  <c r="O137" i="2"/>
  <c r="I160" i="2"/>
  <c r="O271" i="2"/>
  <c r="O177" i="2"/>
  <c r="T28" i="2"/>
  <c r="P102" i="2"/>
  <c r="P177" i="2"/>
  <c r="T177" i="2"/>
  <c r="U262" i="2"/>
  <c r="T271" i="2"/>
  <c r="T102" i="2"/>
  <c r="I232" i="2"/>
  <c r="P194" i="2"/>
  <c r="U271" i="2"/>
  <c r="U283" i="2"/>
  <c r="S102" i="2"/>
  <c r="U194" i="2"/>
  <c r="O160" i="2"/>
  <c r="P28" i="2"/>
  <c r="H28" i="2"/>
  <c r="P137" i="2"/>
  <c r="H262" i="2"/>
  <c r="I28" i="2"/>
  <c r="T194" i="2"/>
  <c r="S28" i="2"/>
  <c r="O283" i="2"/>
  <c r="U232" i="2"/>
  <c r="P271" i="2"/>
  <c r="P160" i="2"/>
  <c r="S160" i="2"/>
  <c r="H283" i="2"/>
  <c r="H271" i="2"/>
  <c r="I262" i="2"/>
  <c r="O28" i="2"/>
  <c r="U177" i="2"/>
  <c r="P232" i="2"/>
  <c r="H194" i="2"/>
  <c r="S137" i="2"/>
  <c r="P213" i="2"/>
  <c r="U176" i="2"/>
  <c r="H279" i="2"/>
  <c r="I47" i="2"/>
  <c r="T80" i="2"/>
  <c r="S47" i="2"/>
  <c r="U216" i="2"/>
  <c r="U213" i="2"/>
  <c r="T206" i="2"/>
  <c r="P201" i="2"/>
  <c r="O47" i="2"/>
  <c r="O20" i="2"/>
  <c r="T47" i="2"/>
  <c r="I216" i="2"/>
  <c r="O206" i="2"/>
  <c r="S69" i="2"/>
  <c r="O201" i="2"/>
  <c r="S206" i="2"/>
  <c r="T201" i="2"/>
  <c r="U201" i="2"/>
  <c r="P47" i="2"/>
  <c r="H20" i="2"/>
  <c r="H213" i="2"/>
  <c r="P216" i="2"/>
  <c r="H69" i="2"/>
  <c r="U279" i="2"/>
  <c r="U20" i="2"/>
  <c r="T176" i="2"/>
  <c r="O80" i="2"/>
  <c r="O216" i="2"/>
  <c r="S20" i="2"/>
  <c r="I176" i="2"/>
  <c r="H216" i="2"/>
  <c r="P20" i="2"/>
  <c r="H176" i="2"/>
  <c r="U47" i="2"/>
  <c r="S279" i="2"/>
  <c r="S80" i="2"/>
  <c r="U206" i="2"/>
  <c r="O69" i="2"/>
  <c r="I69" i="2"/>
  <c r="S201" i="2"/>
  <c r="P176" i="2"/>
  <c r="S216" i="2"/>
  <c r="T69" i="2"/>
  <c r="S213" i="2"/>
  <c r="I201" i="2"/>
  <c r="U80" i="2"/>
  <c r="S176" i="2"/>
  <c r="U69" i="2"/>
  <c r="O279" i="2"/>
  <c r="I80" i="2"/>
  <c r="I20" i="2"/>
  <c r="P279" i="2"/>
  <c r="T279" i="2"/>
  <c r="P206" i="2"/>
  <c r="H80" i="2"/>
  <c r="I213" i="2"/>
  <c r="T213" i="2"/>
  <c r="I206" i="2"/>
  <c r="H201" i="2"/>
  <c r="I279" i="2"/>
  <c r="O213" i="2"/>
  <c r="O176" i="2"/>
  <c r="T216" i="2"/>
  <c r="H47" i="2"/>
  <c r="P80" i="2"/>
  <c r="P69" i="2"/>
  <c r="T20" i="2"/>
  <c r="H206" i="2"/>
  <c r="H118" i="2"/>
  <c r="T37" i="2"/>
  <c r="S150" i="2"/>
  <c r="T51" i="2"/>
  <c r="S37" i="2"/>
  <c r="S118" i="2"/>
  <c r="I284" i="2"/>
  <c r="U37" i="2"/>
  <c r="H284" i="2"/>
  <c r="H57" i="2"/>
  <c r="S284" i="2"/>
  <c r="U144" i="2"/>
  <c r="O65" i="2"/>
  <c r="U118" i="2"/>
  <c r="U150" i="2"/>
  <c r="O218" i="2"/>
  <c r="S218" i="2"/>
  <c r="I65" i="2"/>
  <c r="P284" i="2"/>
  <c r="T144" i="2"/>
  <c r="U65" i="2"/>
  <c r="O37" i="2"/>
  <c r="T218" i="2"/>
  <c r="I51" i="2"/>
  <c r="O144" i="2"/>
  <c r="S51" i="2"/>
  <c r="I37" i="2"/>
  <c r="I144" i="2"/>
  <c r="O150" i="2"/>
  <c r="S65" i="2"/>
  <c r="U218" i="2"/>
  <c r="U104" i="2"/>
  <c r="P57" i="2"/>
  <c r="P150" i="2"/>
  <c r="U57" i="2"/>
  <c r="T150" i="2"/>
  <c r="I218" i="2"/>
  <c r="S144" i="2"/>
  <c r="T118" i="2"/>
  <c r="P51" i="2"/>
  <c r="O284" i="2"/>
  <c r="O118" i="2"/>
  <c r="T65" i="2"/>
  <c r="T104" i="2"/>
  <c r="T284" i="2"/>
  <c r="H218" i="2"/>
  <c r="H51" i="2"/>
  <c r="H104" i="2"/>
  <c r="T57" i="2"/>
  <c r="I150" i="2"/>
  <c r="U51" i="2"/>
  <c r="S104" i="2"/>
  <c r="I104" i="2"/>
  <c r="I57" i="2"/>
  <c r="P118" i="2"/>
  <c r="P65" i="2"/>
  <c r="H150" i="2"/>
  <c r="H37" i="2"/>
  <c r="P144" i="2"/>
  <c r="S57" i="2"/>
  <c r="P218" i="2"/>
  <c r="O104" i="2"/>
  <c r="H65" i="2"/>
  <c r="P104" i="2"/>
  <c r="H144" i="2"/>
  <c r="O57" i="2"/>
  <c r="P37" i="2"/>
  <c r="I118" i="2"/>
  <c r="O51" i="2"/>
  <c r="U284" i="2"/>
  <c r="S208" i="2"/>
  <c r="U190" i="2"/>
  <c r="S64" i="2"/>
  <c r="P129" i="2"/>
  <c r="P208" i="2"/>
  <c r="O64" i="2"/>
  <c r="H72" i="2"/>
  <c r="O92" i="2"/>
  <c r="U92" i="2"/>
  <c r="T19" i="2"/>
  <c r="S72" i="2"/>
  <c r="O19" i="2"/>
  <c r="T44" i="2"/>
  <c r="P92" i="2"/>
  <c r="O172" i="2"/>
  <c r="I19" i="2"/>
  <c r="P72" i="2"/>
  <c r="I92" i="2"/>
  <c r="P39" i="2"/>
  <c r="U129" i="2"/>
  <c r="T129" i="2"/>
  <c r="P19" i="2"/>
  <c r="I64" i="2"/>
  <c r="I172" i="2"/>
  <c r="S129" i="2"/>
  <c r="S39" i="2"/>
  <c r="T172" i="2"/>
  <c r="I44" i="2"/>
  <c r="I129" i="2"/>
  <c r="H172" i="2"/>
  <c r="H64" i="2"/>
  <c r="H39" i="2"/>
  <c r="H92" i="2"/>
  <c r="T190" i="2"/>
  <c r="U208" i="2"/>
  <c r="H19" i="2"/>
  <c r="U44" i="2"/>
  <c r="U72" i="2"/>
  <c r="S19" i="2"/>
  <c r="U19" i="2"/>
  <c r="O208" i="2"/>
  <c r="O72" i="2"/>
  <c r="P172" i="2"/>
  <c r="O190" i="2"/>
  <c r="H44" i="2"/>
  <c r="T39" i="2"/>
  <c r="I190" i="2"/>
  <c r="I39" i="2"/>
  <c r="S190" i="2"/>
  <c r="O129" i="2"/>
  <c r="T64" i="2"/>
  <c r="S172" i="2"/>
  <c r="S92" i="2"/>
  <c r="T72" i="2"/>
  <c r="I72" i="2"/>
  <c r="I208" i="2"/>
  <c r="S44" i="2"/>
  <c r="U39" i="2"/>
  <c r="T208" i="2"/>
  <c r="P44" i="2"/>
  <c r="U172" i="2"/>
  <c r="T92" i="2"/>
  <c r="H208" i="2"/>
  <c r="H129" i="2"/>
  <c r="H190" i="2"/>
  <c r="U64" i="2"/>
  <c r="P64" i="2"/>
  <c r="O44" i="2"/>
  <c r="P190" i="2"/>
  <c r="O39" i="2"/>
  <c r="P296" i="2"/>
  <c r="Q296" i="2"/>
  <c r="N289" i="2"/>
  <c r="C292" i="2"/>
  <c r="B289" i="2"/>
  <c r="X289" i="2" s="1"/>
  <c r="E291" i="2"/>
  <c r="N288" i="2"/>
  <c r="R291" i="2"/>
  <c r="G293" i="2"/>
  <c r="F293" i="2"/>
  <c r="G289" i="2"/>
  <c r="L290" i="2"/>
  <c r="N291" i="2"/>
  <c r="K292" i="2"/>
  <c r="E289" i="2"/>
  <c r="F291" i="2"/>
  <c r="M288" i="2"/>
  <c r="L292" i="2"/>
  <c r="J289" i="2"/>
  <c r="J292" i="2"/>
  <c r="R290" i="2"/>
  <c r="E290" i="2"/>
  <c r="B293" i="2"/>
  <c r="X293" i="2" s="1"/>
  <c r="B292" i="2"/>
  <c r="X292" i="2" s="1"/>
  <c r="E288" i="2"/>
  <c r="L293" i="2"/>
  <c r="J293" i="2"/>
  <c r="N290" i="2"/>
  <c r="L288" i="2"/>
  <c r="G292" i="2"/>
  <c r="M292" i="2"/>
  <c r="F292" i="2"/>
  <c r="K289" i="2"/>
  <c r="C291" i="2"/>
  <c r="J288" i="2"/>
  <c r="Q292" i="2"/>
  <c r="R292" i="2"/>
  <c r="Q289" i="2"/>
  <c r="C288" i="2"/>
  <c r="M289" i="2"/>
  <c r="J291" i="2"/>
  <c r="D290" i="2"/>
  <c r="D288" i="2"/>
  <c r="Q288" i="2"/>
  <c r="M290" i="2"/>
  <c r="K288" i="2"/>
  <c r="M291" i="2"/>
  <c r="B288" i="2"/>
  <c r="X288" i="2" s="1"/>
  <c r="R288" i="2"/>
  <c r="Q293" i="2"/>
  <c r="D289" i="2"/>
  <c r="N293" i="2"/>
  <c r="J290" i="2"/>
  <c r="D293" i="2"/>
  <c r="F290" i="2"/>
  <c r="Q290" i="2"/>
  <c r="G290" i="2"/>
  <c r="E293" i="2"/>
  <c r="M293" i="2"/>
  <c r="E292" i="2"/>
  <c r="K290" i="2"/>
  <c r="L291" i="2"/>
  <c r="R293" i="2"/>
  <c r="C289" i="2"/>
  <c r="R289" i="2"/>
  <c r="C293" i="2"/>
  <c r="N292" i="2"/>
  <c r="D292" i="2"/>
  <c r="G288" i="2"/>
  <c r="B290" i="2"/>
  <c r="X290" i="2" s="1"/>
  <c r="G291" i="2"/>
  <c r="Q291" i="2"/>
  <c r="F289" i="2"/>
  <c r="K293" i="2"/>
  <c r="B291" i="2"/>
  <c r="X291" i="2" s="1"/>
  <c r="C290" i="2"/>
  <c r="L289" i="2"/>
  <c r="D291" i="2"/>
  <c r="K291" i="2"/>
  <c r="F288" i="2"/>
  <c r="X287" i="2"/>
  <c r="Q280" i="2"/>
  <c r="M283" i="2"/>
  <c r="F282" i="2"/>
  <c r="J279" i="2"/>
  <c r="J281" i="2"/>
  <c r="D286" i="2"/>
  <c r="F281" i="2"/>
  <c r="E282" i="2"/>
  <c r="N285" i="2"/>
  <c r="K279" i="2"/>
  <c r="F285" i="2"/>
  <c r="G284" i="2"/>
  <c r="L283" i="2"/>
  <c r="K282" i="2"/>
  <c r="G279" i="2"/>
  <c r="D283" i="2"/>
  <c r="J285" i="2"/>
  <c r="L281" i="2"/>
  <c r="J283" i="2"/>
  <c r="B281" i="2"/>
  <c r="X281" i="2" s="1"/>
  <c r="B282" i="2"/>
  <c r="X282" i="2" s="1"/>
  <c r="B283" i="2"/>
  <c r="X283" i="2" s="1"/>
  <c r="K286" i="2"/>
  <c r="J286" i="2"/>
  <c r="D285" i="2"/>
  <c r="Q279" i="2"/>
  <c r="C284" i="2"/>
  <c r="N282" i="2"/>
  <c r="G280" i="2"/>
  <c r="M281" i="2"/>
  <c r="G281" i="2"/>
  <c r="Q286" i="2"/>
  <c r="R280" i="2"/>
  <c r="F280" i="2"/>
  <c r="L286" i="2"/>
  <c r="F279" i="2"/>
  <c r="L282" i="2"/>
  <c r="Q285" i="2"/>
  <c r="E286" i="2"/>
  <c r="Q283" i="2"/>
  <c r="R282" i="2"/>
  <c r="K285" i="2"/>
  <c r="C286" i="2"/>
  <c r="M279" i="2"/>
  <c r="E284" i="2"/>
  <c r="R279" i="2"/>
  <c r="C281" i="2"/>
  <c r="F286" i="2"/>
  <c r="E281" i="2"/>
  <c r="R286" i="2"/>
  <c r="N284" i="2"/>
  <c r="F283" i="2"/>
  <c r="R281" i="2"/>
  <c r="C279" i="2"/>
  <c r="E279" i="2"/>
  <c r="G286" i="2"/>
  <c r="E283" i="2"/>
  <c r="M282" i="2"/>
  <c r="B285" i="2"/>
  <c r="X285" i="2" s="1"/>
  <c r="N279" i="2"/>
  <c r="J280" i="2"/>
  <c r="K284" i="2"/>
  <c r="D280" i="2"/>
  <c r="K281" i="2"/>
  <c r="Q284" i="2"/>
  <c r="Q281" i="2"/>
  <c r="F284" i="2"/>
  <c r="K283" i="2"/>
  <c r="E285" i="2"/>
  <c r="M280" i="2"/>
  <c r="N281" i="2"/>
  <c r="Q282" i="2"/>
  <c r="G283" i="2"/>
  <c r="M284" i="2"/>
  <c r="D279" i="2"/>
  <c r="K280" i="2"/>
  <c r="M285" i="2"/>
  <c r="B284" i="2"/>
  <c r="X284" i="2" s="1"/>
  <c r="L280" i="2"/>
  <c r="G285" i="2"/>
  <c r="J284" i="2"/>
  <c r="J282" i="2"/>
  <c r="D281" i="2"/>
  <c r="C285" i="2"/>
  <c r="G282" i="2"/>
  <c r="D284" i="2"/>
  <c r="M286" i="2"/>
  <c r="R284" i="2"/>
  <c r="N286" i="2"/>
  <c r="C282" i="2"/>
  <c r="D282" i="2"/>
  <c r="C280" i="2"/>
  <c r="E280" i="2"/>
  <c r="N280" i="2"/>
  <c r="B279" i="2"/>
  <c r="X279" i="2" s="1"/>
  <c r="B286" i="2"/>
  <c r="X286" i="2" s="1"/>
  <c r="R283" i="2"/>
  <c r="L285" i="2"/>
  <c r="N283" i="2"/>
  <c r="B280" i="2"/>
  <c r="X280" i="2" s="1"/>
  <c r="C283" i="2"/>
  <c r="R285" i="2"/>
  <c r="L284" i="2"/>
  <c r="L279" i="2"/>
  <c r="X278" i="2" l="1"/>
  <c r="L274" i="2"/>
  <c r="G274" i="2"/>
  <c r="E275" i="2"/>
  <c r="M275" i="2"/>
  <c r="G276" i="2"/>
  <c r="M274" i="2"/>
  <c r="B275" i="2"/>
  <c r="X275" i="2" s="1"/>
  <c r="Q275" i="2"/>
  <c r="B276" i="2"/>
  <c r="X276" i="2" s="1"/>
  <c r="N275" i="2"/>
  <c r="B277" i="2"/>
  <c r="X277" i="2" s="1"/>
  <c r="M276" i="2"/>
  <c r="D277" i="2"/>
  <c r="N276" i="2"/>
  <c r="B274" i="2"/>
  <c r="X274" i="2" s="1"/>
  <c r="L275" i="2"/>
  <c r="K277" i="2"/>
  <c r="G277" i="2"/>
  <c r="Q274" i="2"/>
  <c r="R277" i="2"/>
  <c r="E276" i="2"/>
  <c r="L276" i="2"/>
  <c r="R275" i="2"/>
  <c r="C274" i="2"/>
  <c r="J275" i="2"/>
  <c r="C277" i="2"/>
  <c r="R274" i="2"/>
  <c r="F275" i="2"/>
  <c r="N277" i="2"/>
  <c r="N274" i="2"/>
  <c r="G275" i="2"/>
  <c r="D274" i="2"/>
  <c r="J277" i="2"/>
  <c r="J276" i="2"/>
  <c r="E277" i="2"/>
  <c r="K276" i="2"/>
  <c r="E274" i="2"/>
  <c r="F274" i="2"/>
  <c r="F277" i="2"/>
  <c r="K275" i="2"/>
  <c r="C275" i="2"/>
  <c r="Q277" i="2"/>
  <c r="F276" i="2"/>
  <c r="K274" i="2"/>
  <c r="C276" i="2"/>
  <c r="D276" i="2"/>
  <c r="D275" i="2"/>
  <c r="M277" i="2"/>
  <c r="L277" i="2"/>
  <c r="R276" i="2"/>
  <c r="J274" i="2"/>
  <c r="Q276" i="2"/>
  <c r="X273" i="2" l="1"/>
  <c r="E271" i="2"/>
  <c r="G268" i="2"/>
  <c r="B271" i="2"/>
  <c r="X271" i="2" s="1"/>
  <c r="Q269" i="2"/>
  <c r="N270" i="2"/>
  <c r="D268" i="2"/>
  <c r="L271" i="2"/>
  <c r="Q267" i="2"/>
  <c r="M272" i="2"/>
  <c r="D267" i="2"/>
  <c r="G269" i="2"/>
  <c r="N268" i="2"/>
  <c r="C271" i="2"/>
  <c r="B272" i="2"/>
  <c r="X272" i="2" s="1"/>
  <c r="R272" i="2"/>
  <c r="E268" i="2"/>
  <c r="B267" i="2"/>
  <c r="X267" i="2" s="1"/>
  <c r="J268" i="2"/>
  <c r="N269" i="2"/>
  <c r="K272" i="2"/>
  <c r="G270" i="2"/>
  <c r="R267" i="2"/>
  <c r="M267" i="2"/>
  <c r="C270" i="2"/>
  <c r="F268" i="2"/>
  <c r="F269" i="2"/>
  <c r="N272" i="2"/>
  <c r="Q268" i="2"/>
  <c r="L270" i="2"/>
  <c r="K271" i="2"/>
  <c r="E272" i="2"/>
  <c r="J271" i="2"/>
  <c r="B270" i="2"/>
  <c r="X270" i="2" s="1"/>
  <c r="N267" i="2"/>
  <c r="C267" i="2"/>
  <c r="F272" i="2"/>
  <c r="G267" i="2"/>
  <c r="B269" i="2"/>
  <c r="X269" i="2" s="1"/>
  <c r="K268" i="2"/>
  <c r="M270" i="2"/>
  <c r="M269" i="2"/>
  <c r="K270" i="2"/>
  <c r="R271" i="2"/>
  <c r="F270" i="2"/>
  <c r="N271" i="2"/>
  <c r="D270" i="2"/>
  <c r="J267" i="2"/>
  <c r="D269" i="2"/>
  <c r="J272" i="2"/>
  <c r="L267" i="2"/>
  <c r="M268" i="2"/>
  <c r="E267" i="2"/>
  <c r="M271" i="2"/>
  <c r="L272" i="2"/>
  <c r="K269" i="2"/>
  <c r="R269" i="2"/>
  <c r="K267" i="2"/>
  <c r="C268" i="2"/>
  <c r="C272" i="2"/>
  <c r="J270" i="2"/>
  <c r="D272" i="2"/>
  <c r="B268" i="2"/>
  <c r="X268" i="2" s="1"/>
  <c r="C269" i="2"/>
  <c r="Q270" i="2"/>
  <c r="Q271" i="2"/>
  <c r="F267" i="2"/>
  <c r="J269" i="2"/>
  <c r="G272" i="2"/>
  <c r="D271" i="2"/>
  <c r="G271" i="2"/>
  <c r="R268" i="2"/>
  <c r="R270" i="2"/>
  <c r="E270" i="2"/>
  <c r="E269" i="2"/>
  <c r="F271" i="2"/>
  <c r="Q272" i="2"/>
  <c r="L269" i="2"/>
  <c r="L268" i="2"/>
  <c r="X266" i="2" l="1"/>
  <c r="J260" i="2"/>
  <c r="D265" i="2"/>
  <c r="G253" i="2"/>
  <c r="L255" i="2"/>
  <c r="B260" i="2"/>
  <c r="X260" i="2" s="1"/>
  <c r="B251" i="2"/>
  <c r="X251" i="2" s="1"/>
  <c r="B265" i="2"/>
  <c r="X265" i="2" s="1"/>
  <c r="Q261" i="2"/>
  <c r="G252" i="2"/>
  <c r="L250" i="2"/>
  <c r="E262" i="2"/>
  <c r="L252" i="2"/>
  <c r="F250" i="2"/>
  <c r="Q256" i="2"/>
  <c r="F263" i="2"/>
  <c r="J262" i="2"/>
  <c r="Q255" i="2"/>
  <c r="N253" i="2"/>
  <c r="E251" i="2"/>
  <c r="F259" i="2"/>
  <c r="J264" i="2"/>
  <c r="L265" i="2"/>
  <c r="D260" i="2"/>
  <c r="N263" i="2"/>
  <c r="N257" i="2"/>
  <c r="R253" i="2"/>
  <c r="B255" i="2"/>
  <c r="X255" i="2" s="1"/>
  <c r="C257" i="2"/>
  <c r="N250" i="2"/>
  <c r="R259" i="2"/>
  <c r="K255" i="2"/>
  <c r="M262" i="2"/>
  <c r="K250" i="2"/>
  <c r="N262" i="2"/>
  <c r="K263" i="2"/>
  <c r="N261" i="2"/>
  <c r="G261" i="2"/>
  <c r="M256" i="2"/>
  <c r="K252" i="2"/>
  <c r="G258" i="2"/>
  <c r="G251" i="2"/>
  <c r="G255" i="2"/>
  <c r="B259" i="2"/>
  <c r="X259" i="2" s="1"/>
  <c r="D261" i="2"/>
  <c r="N252" i="2"/>
  <c r="N264" i="2"/>
  <c r="L261" i="2"/>
  <c r="M252" i="2"/>
  <c r="R262" i="2"/>
  <c r="F253" i="2"/>
  <c r="E259" i="2"/>
  <c r="G264" i="2"/>
  <c r="Q253" i="2"/>
  <c r="K259" i="2"/>
  <c r="R254" i="2"/>
  <c r="E252" i="2"/>
  <c r="K261" i="2"/>
  <c r="E250" i="2"/>
  <c r="Q264" i="2"/>
  <c r="B262" i="2"/>
  <c r="X262" i="2" s="1"/>
  <c r="E263" i="2"/>
  <c r="K254" i="2"/>
  <c r="Q262" i="2"/>
  <c r="C253" i="2"/>
  <c r="D262" i="2"/>
  <c r="B250" i="2"/>
  <c r="X250" i="2" s="1"/>
  <c r="N259" i="2"/>
  <c r="B252" i="2"/>
  <c r="X252" i="2" s="1"/>
  <c r="R252" i="2"/>
  <c r="F265" i="2"/>
  <c r="N255" i="2"/>
  <c r="K257" i="2"/>
  <c r="C255" i="2"/>
  <c r="N258" i="2"/>
  <c r="F252" i="2"/>
  <c r="M261" i="2"/>
  <c r="C251" i="2"/>
  <c r="D263" i="2"/>
  <c r="G260" i="2"/>
  <c r="G259" i="2"/>
  <c r="M260" i="2"/>
  <c r="R255" i="2"/>
  <c r="D256" i="2"/>
  <c r="J259" i="2"/>
  <c r="L251" i="2"/>
  <c r="Q263" i="2"/>
  <c r="D251" i="2"/>
  <c r="Q265" i="2"/>
  <c r="C256" i="2"/>
  <c r="B258" i="2"/>
  <c r="X258" i="2" s="1"/>
  <c r="M258" i="2"/>
  <c r="R258" i="2"/>
  <c r="N256" i="2"/>
  <c r="E254" i="2"/>
  <c r="E255" i="2"/>
  <c r="J258" i="2"/>
  <c r="Q259" i="2"/>
  <c r="K256" i="2"/>
  <c r="J254" i="2"/>
  <c r="E256" i="2"/>
  <c r="K265" i="2"/>
  <c r="B253" i="2"/>
  <c r="X253" i="2" s="1"/>
  <c r="E253" i="2"/>
  <c r="N265" i="2"/>
  <c r="Q252" i="2"/>
  <c r="M254" i="2"/>
  <c r="G257" i="2"/>
  <c r="D264" i="2"/>
  <c r="D255" i="2"/>
  <c r="N251" i="2"/>
  <c r="C261" i="2"/>
  <c r="J261" i="2"/>
  <c r="F256" i="2"/>
  <c r="F261" i="2"/>
  <c r="K251" i="2"/>
  <c r="B254" i="2"/>
  <c r="X254" i="2" s="1"/>
  <c r="R264" i="2"/>
  <c r="E264" i="2"/>
  <c r="R263" i="2"/>
  <c r="D250" i="2"/>
  <c r="J256" i="2"/>
  <c r="L258" i="2"/>
  <c r="C254" i="2"/>
  <c r="L262" i="2"/>
  <c r="B264" i="2"/>
  <c r="X264" i="2" s="1"/>
  <c r="C264" i="2"/>
  <c r="L264" i="2"/>
  <c r="Q250" i="2"/>
  <c r="G265" i="2"/>
  <c r="D252" i="2"/>
  <c r="M253" i="2"/>
  <c r="N260" i="2"/>
  <c r="C250" i="2"/>
  <c r="J250" i="2"/>
  <c r="K258" i="2"/>
  <c r="F260" i="2"/>
  <c r="F257" i="2"/>
  <c r="R265" i="2"/>
  <c r="K253" i="2"/>
  <c r="R261" i="2"/>
  <c r="C262" i="2"/>
  <c r="E258" i="2"/>
  <c r="F254" i="2"/>
  <c r="N254" i="2"/>
  <c r="G262" i="2"/>
  <c r="F262" i="2"/>
  <c r="R250" i="2"/>
  <c r="D258" i="2"/>
  <c r="J257" i="2"/>
  <c r="L263" i="2"/>
  <c r="L257" i="2"/>
  <c r="F255" i="2"/>
  <c r="D254" i="2"/>
  <c r="C259" i="2"/>
  <c r="K260" i="2"/>
  <c r="C263" i="2"/>
  <c r="R256" i="2"/>
  <c r="M250" i="2"/>
  <c r="E261" i="2"/>
  <c r="E257" i="2"/>
  <c r="M264" i="2"/>
  <c r="G263" i="2"/>
  <c r="B261" i="2"/>
  <c r="X261" i="2" s="1"/>
  <c r="S261" i="2" s="1"/>
  <c r="R260" i="2"/>
  <c r="F258" i="2"/>
  <c r="D259" i="2"/>
  <c r="G256" i="2"/>
  <c r="L260" i="2"/>
  <c r="J265" i="2"/>
  <c r="L254" i="2"/>
  <c r="D253" i="2"/>
  <c r="M259" i="2"/>
  <c r="Q251" i="2"/>
  <c r="M257" i="2"/>
  <c r="J253" i="2"/>
  <c r="K264" i="2"/>
  <c r="B256" i="2"/>
  <c r="X256" i="2" s="1"/>
  <c r="C258" i="2"/>
  <c r="Q257" i="2"/>
  <c r="M265" i="2"/>
  <c r="F251" i="2"/>
  <c r="C252" i="2"/>
  <c r="E260" i="2"/>
  <c r="M251" i="2"/>
  <c r="L259" i="2"/>
  <c r="M255" i="2"/>
  <c r="J263" i="2"/>
  <c r="C265" i="2"/>
  <c r="J251" i="2"/>
  <c r="G250" i="2"/>
  <c r="Q260" i="2"/>
  <c r="Q258" i="2"/>
  <c r="L256" i="2"/>
  <c r="R251" i="2"/>
  <c r="K262" i="2"/>
  <c r="G254" i="2"/>
  <c r="C260" i="2"/>
  <c r="B257" i="2"/>
  <c r="X257" i="2" s="1"/>
  <c r="M263" i="2"/>
  <c r="R257" i="2"/>
  <c r="Q254" i="2"/>
  <c r="L253" i="2"/>
  <c r="J255" i="2"/>
  <c r="F264" i="2"/>
  <c r="D257" i="2"/>
  <c r="E265" i="2"/>
  <c r="B263" i="2"/>
  <c r="X263" i="2" s="1"/>
  <c r="X249" i="2" l="1"/>
  <c r="R246" i="2"/>
  <c r="K246" i="2"/>
  <c r="K248" i="2"/>
  <c r="D247" i="2"/>
  <c r="N246" i="2"/>
  <c r="L247" i="2"/>
  <c r="E247" i="2"/>
  <c r="L246" i="2"/>
  <c r="C247" i="2"/>
  <c r="L248" i="2"/>
  <c r="E248" i="2"/>
  <c r="Q247" i="2"/>
  <c r="F248" i="2"/>
  <c r="M248" i="2"/>
  <c r="K247" i="2"/>
  <c r="B247" i="2"/>
  <c r="X247" i="2" s="1"/>
  <c r="J246" i="2"/>
  <c r="C246" i="2"/>
  <c r="C248" i="2"/>
  <c r="B248" i="2"/>
  <c r="X248" i="2" s="1"/>
  <c r="M247" i="2"/>
  <c r="G247" i="2"/>
  <c r="D248" i="2"/>
  <c r="J248" i="2"/>
  <c r="Q248" i="2"/>
  <c r="F247" i="2"/>
  <c r="N248" i="2"/>
  <c r="M246" i="2"/>
  <c r="G248" i="2"/>
  <c r="E246" i="2"/>
  <c r="B246" i="2"/>
  <c r="X246" i="2" s="1"/>
  <c r="D246" i="2"/>
  <c r="R247" i="2"/>
  <c r="N247" i="2"/>
  <c r="J247" i="2"/>
  <c r="R248" i="2"/>
  <c r="F246" i="2"/>
  <c r="Q246" i="2"/>
  <c r="G246" i="2"/>
  <c r="X245" i="2" l="1"/>
  <c r="F241" i="2"/>
  <c r="K244" i="2"/>
  <c r="M241" i="2"/>
  <c r="G242" i="2"/>
  <c r="R243" i="2"/>
  <c r="K243" i="2"/>
  <c r="G243" i="2"/>
  <c r="G244" i="2"/>
  <c r="Q241" i="2"/>
  <c r="N244" i="2"/>
  <c r="D243" i="2"/>
  <c r="J241" i="2"/>
  <c r="R244" i="2"/>
  <c r="D244" i="2"/>
  <c r="B242" i="2"/>
  <c r="X242" i="2" s="1"/>
  <c r="B241" i="2"/>
  <c r="X241" i="2" s="1"/>
  <c r="F244" i="2"/>
  <c r="Q243" i="2"/>
  <c r="F243" i="2"/>
  <c r="R241" i="2"/>
  <c r="M242" i="2"/>
  <c r="L242" i="2"/>
  <c r="C241" i="2"/>
  <c r="D242" i="2"/>
  <c r="K241" i="2"/>
  <c r="J244" i="2"/>
  <c r="E244" i="2"/>
  <c r="C244" i="2"/>
  <c r="M243" i="2"/>
  <c r="L244" i="2"/>
  <c r="Q244" i="2"/>
  <c r="C243" i="2"/>
  <c r="L243" i="2"/>
  <c r="J243" i="2"/>
  <c r="J242" i="2"/>
  <c r="F242" i="2"/>
  <c r="E243" i="2"/>
  <c r="L241" i="2"/>
  <c r="K242" i="2"/>
  <c r="C242" i="2"/>
  <c r="N241" i="2"/>
  <c r="E242" i="2"/>
  <c r="N243" i="2"/>
  <c r="B244" i="2"/>
  <c r="X244" i="2" s="1"/>
  <c r="D241" i="2"/>
  <c r="E241" i="2"/>
  <c r="G241" i="2"/>
  <c r="R242" i="2"/>
  <c r="M244" i="2"/>
  <c r="N242" i="2"/>
  <c r="Q242" i="2"/>
  <c r="B243" i="2"/>
  <c r="X243" i="2" s="1"/>
  <c r="X240" i="2" l="1"/>
  <c r="E236" i="2"/>
  <c r="G195" i="2"/>
  <c r="R202" i="2"/>
  <c r="M226" i="2"/>
  <c r="L227" i="2"/>
  <c r="K229" i="2"/>
  <c r="F200" i="2"/>
  <c r="D233" i="2"/>
  <c r="Q221" i="2"/>
  <c r="D195" i="2"/>
  <c r="L194" i="2"/>
  <c r="C207" i="2"/>
  <c r="M232" i="2"/>
  <c r="L221" i="2"/>
  <c r="C202" i="2"/>
  <c r="B230" i="2"/>
  <c r="X230" i="2" s="1"/>
  <c r="N204" i="2"/>
  <c r="K222" i="2"/>
  <c r="E230" i="2"/>
  <c r="B209" i="2"/>
  <c r="X209" i="2" s="1"/>
  <c r="N211" i="2"/>
  <c r="L196" i="2"/>
  <c r="Q194" i="2"/>
  <c r="F218" i="2"/>
  <c r="F228" i="2"/>
  <c r="L230" i="2"/>
  <c r="Q231" i="2"/>
  <c r="G192" i="2"/>
  <c r="C203" i="2"/>
  <c r="D218" i="2"/>
  <c r="Q215" i="2"/>
  <c r="B220" i="2"/>
  <c r="X220" i="2" s="1"/>
  <c r="E207" i="2"/>
  <c r="L208" i="2"/>
  <c r="N233" i="2"/>
  <c r="D207" i="2"/>
  <c r="G221" i="2"/>
  <c r="E216" i="2"/>
  <c r="C205" i="2"/>
  <c r="N216" i="2"/>
  <c r="B210" i="2"/>
  <c r="X210" i="2" s="1"/>
  <c r="R218" i="2"/>
  <c r="J216" i="2"/>
  <c r="B233" i="2"/>
  <c r="X233" i="2" s="1"/>
  <c r="G233" i="2"/>
  <c r="B236" i="2"/>
  <c r="X236" i="2" s="1"/>
  <c r="J239" i="2"/>
  <c r="G217" i="2"/>
  <c r="N195" i="2"/>
  <c r="B228" i="2"/>
  <c r="X228" i="2" s="1"/>
  <c r="Q237" i="2"/>
  <c r="K212" i="2"/>
  <c r="C230" i="2"/>
  <c r="K226" i="2"/>
  <c r="M223" i="2"/>
  <c r="F208" i="2"/>
  <c r="C213" i="2"/>
  <c r="J231" i="2"/>
  <c r="J199" i="2"/>
  <c r="Q192" i="2"/>
  <c r="D226" i="2"/>
  <c r="D197" i="2"/>
  <c r="M205" i="2"/>
  <c r="N192" i="2"/>
  <c r="K204" i="2"/>
  <c r="R196" i="2"/>
  <c r="E199" i="2"/>
  <c r="M193" i="2"/>
  <c r="R208" i="2"/>
  <c r="R221" i="2"/>
  <c r="D228" i="2"/>
  <c r="M230" i="2"/>
  <c r="E228" i="2"/>
  <c r="M199" i="2"/>
  <c r="R222" i="2"/>
  <c r="F210" i="2"/>
  <c r="G213" i="2"/>
  <c r="E218" i="2"/>
  <c r="M212" i="2"/>
  <c r="L216" i="2"/>
  <c r="R234" i="2"/>
  <c r="L211" i="2"/>
  <c r="Q217" i="2"/>
  <c r="Q239" i="2"/>
  <c r="B223" i="2"/>
  <c r="X223" i="2" s="1"/>
  <c r="J226" i="2"/>
  <c r="J194" i="2"/>
  <c r="M219" i="2"/>
  <c r="D201" i="2"/>
  <c r="E212" i="2"/>
  <c r="F221" i="2"/>
  <c r="G219" i="2"/>
  <c r="C206" i="2"/>
  <c r="F213" i="2"/>
  <c r="E221" i="2"/>
  <c r="F205" i="2"/>
  <c r="F193" i="2"/>
  <c r="L233" i="2"/>
  <c r="F220" i="2"/>
  <c r="B224" i="2"/>
  <c r="X224" i="2" s="1"/>
  <c r="M203" i="2"/>
  <c r="M235" i="2"/>
  <c r="R213" i="2"/>
  <c r="Q230" i="2"/>
  <c r="F196" i="2"/>
  <c r="E209" i="2"/>
  <c r="J206" i="2"/>
  <c r="Q212" i="2"/>
  <c r="R193" i="2"/>
  <c r="F236" i="2"/>
  <c r="D208" i="2"/>
  <c r="B225" i="2"/>
  <c r="X225" i="2" s="1"/>
  <c r="E239" i="2"/>
  <c r="R227" i="2"/>
  <c r="L210" i="2"/>
  <c r="E203" i="2"/>
  <c r="E232" i="2"/>
  <c r="N207" i="2"/>
  <c r="K235" i="2"/>
  <c r="D234" i="2"/>
  <c r="R232" i="2"/>
  <c r="C238" i="2"/>
  <c r="J196" i="2"/>
  <c r="C208" i="2"/>
  <c r="L237" i="2"/>
  <c r="L192" i="2"/>
  <c r="N222" i="2"/>
  <c r="G196" i="2"/>
  <c r="Q229" i="2"/>
  <c r="G209" i="2"/>
  <c r="K201" i="2"/>
  <c r="C220" i="2"/>
  <c r="K199" i="2"/>
  <c r="N228" i="2"/>
  <c r="B211" i="2"/>
  <c r="X211" i="2" s="1"/>
  <c r="N226" i="2"/>
  <c r="N196" i="2"/>
  <c r="M196" i="2"/>
  <c r="L218" i="2"/>
  <c r="G232" i="2"/>
  <c r="G230" i="2"/>
  <c r="Q223" i="2"/>
  <c r="D199" i="2"/>
  <c r="R198" i="2"/>
  <c r="C215" i="2"/>
  <c r="D214" i="2"/>
  <c r="Q234" i="2"/>
  <c r="R199" i="2"/>
  <c r="M202" i="2"/>
  <c r="E196" i="2"/>
  <c r="N239" i="2"/>
  <c r="C217" i="2"/>
  <c r="G227" i="2"/>
  <c r="B219" i="2"/>
  <c r="X219" i="2" s="1"/>
  <c r="B204" i="2"/>
  <c r="X204" i="2" s="1"/>
  <c r="E192" i="2"/>
  <c r="M194" i="2"/>
  <c r="M224" i="2"/>
  <c r="Q209" i="2"/>
  <c r="F234" i="2"/>
  <c r="B226" i="2"/>
  <c r="X226" i="2" s="1"/>
  <c r="B199" i="2"/>
  <c r="X199" i="2" s="1"/>
  <c r="Q200" i="2"/>
  <c r="E226" i="2"/>
  <c r="K205" i="2"/>
  <c r="F239" i="2"/>
  <c r="D225" i="2"/>
  <c r="Q219" i="2"/>
  <c r="K215" i="2"/>
  <c r="G199" i="2"/>
  <c r="E237" i="2"/>
  <c r="G200" i="2"/>
  <c r="L232" i="2"/>
  <c r="F212" i="2"/>
  <c r="R228" i="2"/>
  <c r="C223" i="2"/>
  <c r="C227" i="2"/>
  <c r="G234" i="2"/>
  <c r="B222" i="2"/>
  <c r="X222" i="2" s="1"/>
  <c r="Q201" i="2"/>
  <c r="K193" i="2"/>
  <c r="F216" i="2"/>
  <c r="R236" i="2"/>
  <c r="Q193" i="2"/>
  <c r="Q208" i="2"/>
  <c r="K211" i="2"/>
  <c r="J205" i="2"/>
  <c r="N198" i="2"/>
  <c r="C232" i="2"/>
  <c r="D196" i="2"/>
  <c r="C209" i="2"/>
  <c r="E235" i="2"/>
  <c r="K221" i="2"/>
  <c r="L226" i="2"/>
  <c r="G198" i="2"/>
  <c r="N202" i="2"/>
  <c r="E204" i="2"/>
  <c r="F195" i="2"/>
  <c r="D222" i="2"/>
  <c r="Q204" i="2"/>
  <c r="M220" i="2"/>
  <c r="K203" i="2"/>
  <c r="K232" i="2"/>
  <c r="C235" i="2"/>
  <c r="M239" i="2"/>
  <c r="Q196" i="2"/>
  <c r="L199" i="2"/>
  <c r="B194" i="2"/>
  <c r="X194" i="2" s="1"/>
  <c r="D212" i="2"/>
  <c r="D217" i="2"/>
  <c r="L238" i="2"/>
  <c r="Q216" i="2"/>
  <c r="J237" i="2"/>
  <c r="F232" i="2"/>
  <c r="F198" i="2"/>
  <c r="E229" i="2"/>
  <c r="G218" i="2"/>
  <c r="K224" i="2"/>
  <c r="G210" i="2"/>
  <c r="K198" i="2"/>
  <c r="D216" i="2"/>
  <c r="J198" i="2"/>
  <c r="R237" i="2"/>
  <c r="K225" i="2"/>
  <c r="C216" i="2"/>
  <c r="Q235" i="2"/>
  <c r="N221" i="2"/>
  <c r="K219" i="2"/>
  <c r="N231" i="2"/>
  <c r="G229" i="2"/>
  <c r="B234" i="2"/>
  <c r="X234" i="2" s="1"/>
  <c r="E234" i="2"/>
  <c r="K234" i="2"/>
  <c r="Q206" i="2"/>
  <c r="R231" i="2"/>
  <c r="R211" i="2"/>
  <c r="M198" i="2"/>
  <c r="D202" i="2"/>
  <c r="L239" i="2"/>
  <c r="J230" i="2"/>
  <c r="J215" i="2"/>
  <c r="D235" i="2"/>
  <c r="F223" i="2"/>
  <c r="C211" i="2"/>
  <c r="B216" i="2"/>
  <c r="X216" i="2" s="1"/>
  <c r="G197" i="2"/>
  <c r="B229" i="2"/>
  <c r="X229" i="2" s="1"/>
  <c r="M204" i="2"/>
  <c r="M200" i="2"/>
  <c r="J210" i="2"/>
  <c r="C239" i="2"/>
  <c r="E219" i="2"/>
  <c r="N220" i="2"/>
  <c r="K218" i="2"/>
  <c r="K237" i="2"/>
  <c r="D200" i="2"/>
  <c r="N208" i="2"/>
  <c r="G206" i="2"/>
  <c r="J222" i="2"/>
  <c r="F235" i="2"/>
  <c r="G224" i="2"/>
  <c r="M237" i="2"/>
  <c r="N193" i="2"/>
  <c r="K213" i="2"/>
  <c r="L195" i="2"/>
  <c r="C192" i="2"/>
  <c r="E215" i="2"/>
  <c r="D237" i="2"/>
  <c r="J207" i="2"/>
  <c r="K223" i="2"/>
  <c r="G214" i="2"/>
  <c r="K197" i="2"/>
  <c r="F192" i="2"/>
  <c r="G220" i="2"/>
  <c r="G222" i="2"/>
  <c r="G193" i="2"/>
  <c r="G211" i="2"/>
  <c r="F204" i="2"/>
  <c r="N227" i="2"/>
  <c r="J203" i="2"/>
  <c r="B218" i="2"/>
  <c r="X218" i="2" s="1"/>
  <c r="D236" i="2"/>
  <c r="C221" i="2"/>
  <c r="G212" i="2"/>
  <c r="R230" i="2"/>
  <c r="G194" i="2"/>
  <c r="G235" i="2"/>
  <c r="L212" i="2"/>
  <c r="E201" i="2"/>
  <c r="Q227" i="2"/>
  <c r="N234" i="2"/>
  <c r="M234" i="2"/>
  <c r="M213" i="2"/>
  <c r="Q228" i="2"/>
  <c r="K210" i="2"/>
  <c r="C233" i="2"/>
  <c r="E205" i="2"/>
  <c r="L203" i="2"/>
  <c r="L225" i="2"/>
  <c r="L236" i="2"/>
  <c r="E197" i="2"/>
  <c r="M206" i="2"/>
  <c r="J211" i="2"/>
  <c r="K238" i="2"/>
  <c r="G223" i="2"/>
  <c r="K206" i="2"/>
  <c r="L235" i="2"/>
  <c r="E193" i="2"/>
  <c r="B203" i="2"/>
  <c r="X203" i="2" s="1"/>
  <c r="N224" i="2"/>
  <c r="J197" i="2"/>
  <c r="N225" i="2"/>
  <c r="R235" i="2"/>
  <c r="R239" i="2"/>
  <c r="L205" i="2"/>
  <c r="R238" i="2"/>
  <c r="G237" i="2"/>
  <c r="J229" i="2"/>
  <c r="L200" i="2"/>
  <c r="C210" i="2"/>
  <c r="M208" i="2"/>
  <c r="F214" i="2"/>
  <c r="F225" i="2"/>
  <c r="B221" i="2"/>
  <c r="X221" i="2" s="1"/>
  <c r="N212" i="2"/>
  <c r="E233" i="2"/>
  <c r="F206" i="2"/>
  <c r="D221" i="2"/>
  <c r="R216" i="2"/>
  <c r="B212" i="2"/>
  <c r="X212" i="2" s="1"/>
  <c r="D215" i="2"/>
  <c r="K233" i="2"/>
  <c r="N197" i="2"/>
  <c r="B231" i="2"/>
  <c r="X231" i="2" s="1"/>
  <c r="F222" i="2"/>
  <c r="M216" i="2"/>
  <c r="C237" i="2"/>
  <c r="D209" i="2"/>
  <c r="M231" i="2"/>
  <c r="M215" i="2"/>
  <c r="Q195" i="2"/>
  <c r="F233" i="2"/>
  <c r="B206" i="2"/>
  <c r="X206" i="2" s="1"/>
  <c r="R219" i="2"/>
  <c r="D206" i="2"/>
  <c r="B237" i="2"/>
  <c r="X237" i="2" s="1"/>
  <c r="E238" i="2"/>
  <c r="M238" i="2"/>
  <c r="E202" i="2"/>
  <c r="J238" i="2"/>
  <c r="F227" i="2"/>
  <c r="K192" i="2"/>
  <c r="R226" i="2"/>
  <c r="M195" i="2"/>
  <c r="N210" i="2"/>
  <c r="G236" i="2"/>
  <c r="M211" i="2"/>
  <c r="J233" i="2"/>
  <c r="L223" i="2"/>
  <c r="Q210" i="2"/>
  <c r="R207" i="2"/>
  <c r="R215" i="2"/>
  <c r="C199" i="2"/>
  <c r="K236" i="2"/>
  <c r="F219" i="2"/>
  <c r="M227" i="2"/>
  <c r="E223" i="2"/>
  <c r="Q236" i="2"/>
  <c r="Q226" i="2"/>
  <c r="D205" i="2"/>
  <c r="G215" i="2"/>
  <c r="N217" i="2"/>
  <c r="R201" i="2"/>
  <c r="R225" i="2"/>
  <c r="R229" i="2"/>
  <c r="L201" i="2"/>
  <c r="K239" i="2"/>
  <c r="M201" i="2"/>
  <c r="M228" i="2"/>
  <c r="E210" i="2"/>
  <c r="L198" i="2"/>
  <c r="Q205" i="2"/>
  <c r="D194" i="2"/>
  <c r="Q224" i="2"/>
  <c r="K230" i="2"/>
  <c r="R206" i="2"/>
  <c r="R195" i="2"/>
  <c r="N237" i="2"/>
  <c r="Q213" i="2"/>
  <c r="G202" i="2"/>
  <c r="L217" i="2"/>
  <c r="L234" i="2"/>
  <c r="J208" i="2"/>
  <c r="L213" i="2"/>
  <c r="M209" i="2"/>
  <c r="J223" i="2"/>
  <c r="J212" i="2"/>
  <c r="D192" i="2"/>
  <c r="K207" i="2"/>
  <c r="D193" i="2"/>
  <c r="L231" i="2"/>
  <c r="C201" i="2"/>
  <c r="N203" i="2"/>
  <c r="B195" i="2"/>
  <c r="X195" i="2" s="1"/>
  <c r="G238" i="2"/>
  <c r="D213" i="2"/>
  <c r="N214" i="2"/>
  <c r="N206" i="2"/>
  <c r="E231" i="2"/>
  <c r="K216" i="2"/>
  <c r="G226" i="2"/>
  <c r="R192" i="2"/>
  <c r="R224" i="2"/>
  <c r="Q218" i="2"/>
  <c r="G205" i="2"/>
  <c r="F217" i="2"/>
  <c r="G228" i="2"/>
  <c r="L222" i="2"/>
  <c r="N236" i="2"/>
  <c r="M207" i="2"/>
  <c r="F231" i="2"/>
  <c r="D230" i="2"/>
  <c r="J193" i="2"/>
  <c r="J204" i="2"/>
  <c r="M229" i="2"/>
  <c r="N199" i="2"/>
  <c r="N201" i="2"/>
  <c r="G239" i="2"/>
  <c r="B201" i="2"/>
  <c r="X201" i="2" s="1"/>
  <c r="D198" i="2"/>
  <c r="J236" i="2"/>
  <c r="C218" i="2"/>
  <c r="Q214" i="2"/>
  <c r="E213" i="2"/>
  <c r="R194" i="2"/>
  <c r="C193" i="2"/>
  <c r="E224" i="2"/>
  <c r="E220" i="2"/>
  <c r="L228" i="2"/>
  <c r="N213" i="2"/>
  <c r="N230" i="2"/>
  <c r="J217" i="2"/>
  <c r="N223" i="2"/>
  <c r="F194" i="2"/>
  <c r="C224" i="2"/>
  <c r="K214" i="2"/>
  <c r="N229" i="2"/>
  <c r="J234" i="2"/>
  <c r="C214" i="2"/>
  <c r="R209" i="2"/>
  <c r="M217" i="2"/>
  <c r="E211" i="2"/>
  <c r="G203" i="2"/>
  <c r="M233" i="2"/>
  <c r="N238" i="2"/>
  <c r="F229" i="2"/>
  <c r="D239" i="2"/>
  <c r="N235" i="2"/>
  <c r="B196" i="2"/>
  <c r="X196" i="2" s="1"/>
  <c r="C197" i="2"/>
  <c r="C200" i="2"/>
  <c r="B208" i="2"/>
  <c r="X208" i="2" s="1"/>
  <c r="B207" i="2"/>
  <c r="X207" i="2" s="1"/>
  <c r="Q222" i="2"/>
  <c r="N215" i="2"/>
  <c r="D220" i="2"/>
  <c r="C225" i="2"/>
  <c r="E194" i="2"/>
  <c r="B213" i="2"/>
  <c r="X213" i="2" s="1"/>
  <c r="C195" i="2"/>
  <c r="F207" i="2"/>
  <c r="C236" i="2"/>
  <c r="D231" i="2"/>
  <c r="C196" i="2"/>
  <c r="G225" i="2"/>
  <c r="D227" i="2"/>
  <c r="Q198" i="2"/>
  <c r="K231" i="2"/>
  <c r="Q197" i="2"/>
  <c r="N219" i="2"/>
  <c r="R212" i="2"/>
  <c r="J218" i="2"/>
  <c r="K228" i="2"/>
  <c r="D210" i="2"/>
  <c r="F209" i="2"/>
  <c r="G207" i="2"/>
  <c r="N200" i="2"/>
  <c r="B239" i="2"/>
  <c r="X239" i="2" s="1"/>
  <c r="J228" i="2"/>
  <c r="R223" i="2"/>
  <c r="L207" i="2"/>
  <c r="E206" i="2"/>
  <c r="J221" i="2"/>
  <c r="B232" i="2"/>
  <c r="X232" i="2" s="1"/>
  <c r="E222" i="2"/>
  <c r="M197" i="2"/>
  <c r="C222" i="2"/>
  <c r="G216" i="2"/>
  <c r="B215" i="2"/>
  <c r="X215" i="2" s="1"/>
  <c r="Q233" i="2"/>
  <c r="L219" i="2"/>
  <c r="K200" i="2"/>
  <c r="J213" i="2"/>
  <c r="J220" i="2"/>
  <c r="B197" i="2"/>
  <c r="X197" i="2" s="1"/>
  <c r="C198" i="2"/>
  <c r="F237" i="2"/>
  <c r="L204" i="2"/>
  <c r="B227" i="2"/>
  <c r="X227" i="2" s="1"/>
  <c r="N232" i="2"/>
  <c r="L209" i="2"/>
  <c r="N218" i="2"/>
  <c r="M236" i="2"/>
  <c r="R217" i="2"/>
  <c r="E225" i="2"/>
  <c r="R233" i="2"/>
  <c r="K202" i="2"/>
  <c r="J232" i="2"/>
  <c r="J235" i="2"/>
  <c r="L215" i="2"/>
  <c r="F197" i="2"/>
  <c r="D211" i="2"/>
  <c r="F203" i="2"/>
  <c r="J227" i="2"/>
  <c r="F238" i="2"/>
  <c r="L202" i="2"/>
  <c r="D223" i="2"/>
  <c r="M222" i="2"/>
  <c r="Q202" i="2"/>
  <c r="L229" i="2"/>
  <c r="R210" i="2"/>
  <c r="D229" i="2"/>
  <c r="K196" i="2"/>
  <c r="L214" i="2"/>
  <c r="E217" i="2"/>
  <c r="F224" i="2"/>
  <c r="L206" i="2"/>
  <c r="F202" i="2"/>
  <c r="M210" i="2"/>
  <c r="C229" i="2"/>
  <c r="B202" i="2"/>
  <c r="X202" i="2" s="1"/>
  <c r="K208" i="2"/>
  <c r="E208" i="2"/>
  <c r="L197" i="2"/>
  <c r="J202" i="2"/>
  <c r="L220" i="2"/>
  <c r="Q207" i="2"/>
  <c r="R200" i="2"/>
  <c r="Q225" i="2"/>
  <c r="N209" i="2"/>
  <c r="M225" i="2"/>
  <c r="J225" i="2"/>
  <c r="B205" i="2"/>
  <c r="X205" i="2" s="1"/>
  <c r="N205" i="2"/>
  <c r="B238" i="2"/>
  <c r="X238" i="2" s="1"/>
  <c r="B198" i="2"/>
  <c r="X198" i="2" s="1"/>
  <c r="J214" i="2"/>
  <c r="G208" i="2"/>
  <c r="C234" i="2"/>
  <c r="D204" i="2"/>
  <c r="B235" i="2"/>
  <c r="X235" i="2" s="1"/>
  <c r="K220" i="2"/>
  <c r="Q232" i="2"/>
  <c r="Q238" i="2"/>
  <c r="R203" i="2"/>
  <c r="C204" i="2"/>
  <c r="D219" i="2"/>
  <c r="E227" i="2"/>
  <c r="D238" i="2"/>
  <c r="G231" i="2"/>
  <c r="L224" i="2"/>
  <c r="B200" i="2"/>
  <c r="X200" i="2" s="1"/>
  <c r="R204" i="2"/>
  <c r="M221" i="2"/>
  <c r="R220" i="2"/>
  <c r="B217" i="2"/>
  <c r="X217" i="2" s="1"/>
  <c r="R205" i="2"/>
  <c r="M218" i="2"/>
  <c r="L193" i="2"/>
  <c r="D224" i="2"/>
  <c r="K194" i="2"/>
  <c r="K217" i="2"/>
  <c r="N194" i="2"/>
  <c r="M192" i="2"/>
  <c r="Q220" i="2"/>
  <c r="D232" i="2"/>
  <c r="F199" i="2"/>
  <c r="E214" i="2"/>
  <c r="J201" i="2"/>
  <c r="F211" i="2"/>
  <c r="G204" i="2"/>
  <c r="J192" i="2"/>
  <c r="M214" i="2"/>
  <c r="K227" i="2"/>
  <c r="F201" i="2"/>
  <c r="F230" i="2"/>
  <c r="C194" i="2"/>
  <c r="C219" i="2"/>
  <c r="J200" i="2"/>
  <c r="J219" i="2"/>
  <c r="C228" i="2"/>
  <c r="Q211" i="2"/>
  <c r="B214" i="2"/>
  <c r="X214" i="2" s="1"/>
  <c r="Q203" i="2"/>
  <c r="E195" i="2"/>
  <c r="K209" i="2"/>
  <c r="E200" i="2"/>
  <c r="F215" i="2"/>
  <c r="J224" i="2"/>
  <c r="B193" i="2"/>
  <c r="X193" i="2" s="1"/>
  <c r="D203" i="2"/>
  <c r="J195" i="2"/>
  <c r="E198" i="2"/>
  <c r="F226" i="2"/>
  <c r="C226" i="2"/>
  <c r="R214" i="2"/>
  <c r="J209" i="2"/>
  <c r="C231" i="2"/>
  <c r="C212" i="2"/>
  <c r="G201" i="2"/>
  <c r="R197" i="2"/>
  <c r="B192" i="2"/>
  <c r="X192" i="2" s="1"/>
  <c r="K195" i="2"/>
  <c r="Q199" i="2"/>
  <c r="X191" i="2" l="1"/>
  <c r="F189" i="2"/>
  <c r="N175" i="2"/>
  <c r="R184" i="2"/>
  <c r="C185" i="2"/>
  <c r="G185" i="2"/>
  <c r="K171" i="2"/>
  <c r="R180" i="2"/>
  <c r="L185" i="2"/>
  <c r="J186" i="2"/>
  <c r="B168" i="2"/>
  <c r="X168" i="2" s="1"/>
  <c r="E180" i="2"/>
  <c r="J181" i="2"/>
  <c r="J178" i="2"/>
  <c r="R185" i="2"/>
  <c r="Q172" i="2"/>
  <c r="J167" i="2"/>
  <c r="F167" i="2"/>
  <c r="R177" i="2"/>
  <c r="Q185" i="2"/>
  <c r="E174" i="2"/>
  <c r="N190" i="2"/>
  <c r="R166" i="2"/>
  <c r="N182" i="2"/>
  <c r="L176" i="2"/>
  <c r="K186" i="2"/>
  <c r="J169" i="2"/>
  <c r="G177" i="2"/>
  <c r="G178" i="2"/>
  <c r="M189" i="2"/>
  <c r="M190" i="2"/>
  <c r="Q174" i="2"/>
  <c r="K189" i="2"/>
  <c r="R179" i="2"/>
  <c r="L182" i="2"/>
  <c r="R171" i="2"/>
  <c r="F170" i="2"/>
  <c r="M175" i="2"/>
  <c r="G184" i="2"/>
  <c r="C190" i="2"/>
  <c r="R190" i="2"/>
  <c r="E178" i="2"/>
  <c r="G170" i="2"/>
  <c r="G180" i="2"/>
  <c r="B190" i="2"/>
  <c r="X190" i="2" s="1"/>
  <c r="C187" i="2"/>
  <c r="Q175" i="2"/>
  <c r="Q186" i="2"/>
  <c r="C182" i="2"/>
  <c r="E171" i="2"/>
  <c r="F175" i="2"/>
  <c r="G172" i="2"/>
  <c r="K188" i="2"/>
  <c r="D171" i="2"/>
  <c r="R165" i="2"/>
  <c r="F172" i="2"/>
  <c r="F174" i="2"/>
  <c r="K173" i="2"/>
  <c r="J166" i="2"/>
  <c r="Q178" i="2"/>
  <c r="J179" i="2"/>
  <c r="G179" i="2"/>
  <c r="B185" i="2"/>
  <c r="X185" i="2" s="1"/>
  <c r="K179" i="2"/>
  <c r="B165" i="2"/>
  <c r="X165" i="2" s="1"/>
  <c r="G174" i="2"/>
  <c r="D184" i="2"/>
  <c r="N176" i="2"/>
  <c r="F168" i="2"/>
  <c r="L170" i="2"/>
  <c r="M178" i="2"/>
  <c r="N189" i="2"/>
  <c r="N168" i="2"/>
  <c r="J184" i="2"/>
  <c r="E187" i="2"/>
  <c r="G167" i="2"/>
  <c r="R187" i="2"/>
  <c r="G176" i="2"/>
  <c r="G190" i="2"/>
  <c r="M165" i="2"/>
  <c r="K170" i="2"/>
  <c r="R176" i="2"/>
  <c r="F181" i="2"/>
  <c r="D190" i="2"/>
  <c r="Q182" i="2"/>
  <c r="B188" i="2"/>
  <c r="X188" i="2" s="1"/>
  <c r="F190" i="2"/>
  <c r="J187" i="2"/>
  <c r="E166" i="2"/>
  <c r="N169" i="2"/>
  <c r="Q176" i="2"/>
  <c r="D189" i="2"/>
  <c r="G189" i="2"/>
  <c r="C184" i="2"/>
  <c r="M176" i="2"/>
  <c r="E184" i="2"/>
  <c r="D188" i="2"/>
  <c r="J177" i="2"/>
  <c r="G168" i="2"/>
  <c r="G169" i="2"/>
  <c r="E176" i="2"/>
  <c r="E165" i="2"/>
  <c r="Q165" i="2"/>
  <c r="R182" i="2"/>
  <c r="N171" i="2"/>
  <c r="N177" i="2"/>
  <c r="L172" i="2"/>
  <c r="D165" i="2"/>
  <c r="N183" i="2"/>
  <c r="C179" i="2"/>
  <c r="R174" i="2"/>
  <c r="M174" i="2"/>
  <c r="B166" i="2"/>
  <c r="X166" i="2" s="1"/>
  <c r="Q177" i="2"/>
  <c r="L181" i="2"/>
  <c r="E182" i="2"/>
  <c r="F171" i="2"/>
  <c r="L180" i="2"/>
  <c r="D181" i="2"/>
  <c r="R186" i="2"/>
  <c r="G166" i="2"/>
  <c r="F169" i="2"/>
  <c r="K166" i="2"/>
  <c r="D166" i="2"/>
  <c r="R170" i="2"/>
  <c r="K177" i="2"/>
  <c r="F177" i="2"/>
  <c r="F180" i="2"/>
  <c r="N178" i="2"/>
  <c r="G165" i="2"/>
  <c r="M168" i="2"/>
  <c r="M183" i="2"/>
  <c r="M185" i="2"/>
  <c r="Q168" i="2"/>
  <c r="B189" i="2"/>
  <c r="X189" i="2" s="1"/>
  <c r="N167" i="2"/>
  <c r="M177" i="2"/>
  <c r="M186" i="2"/>
  <c r="L173" i="2"/>
  <c r="G187" i="2"/>
  <c r="K178" i="2"/>
  <c r="D178" i="2"/>
  <c r="C177" i="2"/>
  <c r="B167" i="2"/>
  <c r="X167" i="2" s="1"/>
  <c r="L187" i="2"/>
  <c r="L184" i="2"/>
  <c r="N180" i="2"/>
  <c r="B187" i="2"/>
  <c r="X187" i="2" s="1"/>
  <c r="D174" i="2"/>
  <c r="Q180" i="2"/>
  <c r="Q189" i="2"/>
  <c r="D187" i="2"/>
  <c r="J183" i="2"/>
  <c r="K183" i="2"/>
  <c r="L188" i="2"/>
  <c r="L189" i="2"/>
  <c r="L179" i="2"/>
  <c r="E179" i="2"/>
  <c r="F166" i="2"/>
  <c r="M167" i="2"/>
  <c r="N174" i="2"/>
  <c r="C188" i="2"/>
  <c r="K180" i="2"/>
  <c r="Q181" i="2"/>
  <c r="R172" i="2"/>
  <c r="L171" i="2"/>
  <c r="L167" i="2"/>
  <c r="C166" i="2"/>
  <c r="L178" i="2"/>
  <c r="K174" i="2"/>
  <c r="J188" i="2"/>
  <c r="F179" i="2"/>
  <c r="R167" i="2"/>
  <c r="B171" i="2"/>
  <c r="X171" i="2" s="1"/>
  <c r="C167" i="2"/>
  <c r="E185" i="2"/>
  <c r="J185" i="2"/>
  <c r="M181" i="2"/>
  <c r="D170" i="2"/>
  <c r="M179" i="2"/>
  <c r="N186" i="2"/>
  <c r="B184" i="2"/>
  <c r="X184" i="2" s="1"/>
  <c r="G182" i="2"/>
  <c r="F184" i="2"/>
  <c r="M173" i="2"/>
  <c r="B173" i="2"/>
  <c r="X173" i="2" s="1"/>
  <c r="F187" i="2"/>
  <c r="J171" i="2"/>
  <c r="D183" i="2"/>
  <c r="L165" i="2"/>
  <c r="J176" i="2"/>
  <c r="N188" i="2"/>
  <c r="J165" i="2"/>
  <c r="F178" i="2"/>
  <c r="D177" i="2"/>
  <c r="G171" i="2"/>
  <c r="D173" i="2"/>
  <c r="Q166" i="2"/>
  <c r="F176" i="2"/>
  <c r="R173" i="2"/>
  <c r="C172" i="2"/>
  <c r="L190" i="2"/>
  <c r="Q169" i="2"/>
  <c r="C170" i="2"/>
  <c r="L186" i="2"/>
  <c r="D180" i="2"/>
  <c r="J189" i="2"/>
  <c r="R183" i="2"/>
  <c r="C189" i="2"/>
  <c r="D186" i="2"/>
  <c r="C180" i="2"/>
  <c r="G186" i="2"/>
  <c r="F183" i="2"/>
  <c r="M180" i="2"/>
  <c r="B170" i="2"/>
  <c r="X170" i="2" s="1"/>
  <c r="D168" i="2"/>
  <c r="C176" i="2"/>
  <c r="F185" i="2"/>
  <c r="C178" i="2"/>
  <c r="Q171" i="2"/>
  <c r="G188" i="2"/>
  <c r="C169" i="2"/>
  <c r="D169" i="2"/>
  <c r="B179" i="2"/>
  <c r="X179" i="2" s="1"/>
  <c r="E177" i="2"/>
  <c r="E183" i="2"/>
  <c r="B172" i="2"/>
  <c r="X172" i="2" s="1"/>
  <c r="J174" i="2"/>
  <c r="N185" i="2"/>
  <c r="J182" i="2"/>
  <c r="C175" i="2"/>
  <c r="E169" i="2"/>
  <c r="B183" i="2"/>
  <c r="X183" i="2" s="1"/>
  <c r="L169" i="2"/>
  <c r="Q184" i="2"/>
  <c r="R175" i="2"/>
  <c r="N165" i="2"/>
  <c r="K190" i="2"/>
  <c r="C181" i="2"/>
  <c r="G173" i="2"/>
  <c r="K182" i="2"/>
  <c r="K184" i="2"/>
  <c r="K172" i="2"/>
  <c r="D172" i="2"/>
  <c r="G181" i="2"/>
  <c r="K169" i="2"/>
  <c r="K168" i="2"/>
  <c r="E173" i="2"/>
  <c r="E188" i="2"/>
  <c r="Q183" i="2"/>
  <c r="R169" i="2"/>
  <c r="B174" i="2"/>
  <c r="X174" i="2" s="1"/>
  <c r="B169" i="2"/>
  <c r="X169" i="2" s="1"/>
  <c r="J168" i="2"/>
  <c r="N184" i="2"/>
  <c r="E172" i="2"/>
  <c r="D176" i="2"/>
  <c r="B180" i="2"/>
  <c r="X180" i="2" s="1"/>
  <c r="F186" i="2"/>
  <c r="B182" i="2"/>
  <c r="X182" i="2" s="1"/>
  <c r="N179" i="2"/>
  <c r="D175" i="2"/>
  <c r="J180" i="2"/>
  <c r="K185" i="2"/>
  <c r="M169" i="2"/>
  <c r="E170" i="2"/>
  <c r="J170" i="2"/>
  <c r="K175" i="2"/>
  <c r="G175" i="2"/>
  <c r="N172" i="2"/>
  <c r="K165" i="2"/>
  <c r="B181" i="2"/>
  <c r="X181" i="2" s="1"/>
  <c r="L168" i="2"/>
  <c r="M171" i="2"/>
  <c r="M187" i="2"/>
  <c r="M170" i="2"/>
  <c r="F182" i="2"/>
  <c r="E189" i="2"/>
  <c r="Q167" i="2"/>
  <c r="C168" i="2"/>
  <c r="M182" i="2"/>
  <c r="G183" i="2"/>
  <c r="Q173" i="2"/>
  <c r="Q179" i="2"/>
  <c r="M188" i="2"/>
  <c r="K187" i="2"/>
  <c r="B178" i="2"/>
  <c r="X178" i="2" s="1"/>
  <c r="J190" i="2"/>
  <c r="R181" i="2"/>
  <c r="N173" i="2"/>
  <c r="R188" i="2"/>
  <c r="L175" i="2"/>
  <c r="N181" i="2"/>
  <c r="B177" i="2"/>
  <c r="X177" i="2" s="1"/>
  <c r="L183" i="2"/>
  <c r="D179" i="2"/>
  <c r="L174" i="2"/>
  <c r="M166" i="2"/>
  <c r="Q187" i="2"/>
  <c r="C171" i="2"/>
  <c r="F173" i="2"/>
  <c r="Q190" i="2"/>
  <c r="L166" i="2"/>
  <c r="E190" i="2"/>
  <c r="J175" i="2"/>
  <c r="C186" i="2"/>
  <c r="E168" i="2"/>
  <c r="B186" i="2"/>
  <c r="X186" i="2" s="1"/>
  <c r="C183" i="2"/>
  <c r="D167" i="2"/>
  <c r="K167" i="2"/>
  <c r="B176" i="2"/>
  <c r="X176" i="2" s="1"/>
  <c r="D182" i="2"/>
  <c r="J173" i="2"/>
  <c r="L177" i="2"/>
  <c r="K181" i="2"/>
  <c r="B175" i="2"/>
  <c r="X175" i="2" s="1"/>
  <c r="C173" i="2"/>
  <c r="J172" i="2"/>
  <c r="E181" i="2"/>
  <c r="E175" i="2"/>
  <c r="C165" i="2"/>
  <c r="F188" i="2"/>
  <c r="M184" i="2"/>
  <c r="M172" i="2"/>
  <c r="E167" i="2"/>
  <c r="N170" i="2"/>
  <c r="K176" i="2"/>
  <c r="F165" i="2"/>
  <c r="R178" i="2"/>
  <c r="D185" i="2"/>
  <c r="R189" i="2"/>
  <c r="Q188" i="2"/>
  <c r="Q170" i="2"/>
  <c r="N187" i="2"/>
  <c r="E186" i="2"/>
  <c r="N166" i="2"/>
  <c r="R168" i="2"/>
  <c r="C174" i="2"/>
  <c r="X164" i="2" l="1"/>
  <c r="B163" i="2"/>
  <c r="X163" i="2" s="1"/>
  <c r="J163" i="2"/>
  <c r="L163" i="2"/>
  <c r="K163" i="2"/>
  <c r="F163" i="2"/>
  <c r="Q163" i="2"/>
  <c r="M163" i="2"/>
  <c r="D163" i="2"/>
  <c r="R163" i="2"/>
  <c r="G163" i="2"/>
  <c r="C163" i="2"/>
  <c r="E163" i="2"/>
  <c r="N163" i="2"/>
  <c r="X162" i="2" l="1"/>
  <c r="R159" i="2"/>
  <c r="G156" i="2"/>
  <c r="L150" i="2"/>
  <c r="N159" i="2"/>
  <c r="J150" i="2"/>
  <c r="J160" i="2"/>
  <c r="L159" i="2"/>
  <c r="G157" i="2"/>
  <c r="Q160" i="2"/>
  <c r="M159" i="2"/>
  <c r="N155" i="2"/>
  <c r="D155" i="2"/>
  <c r="F153" i="2"/>
  <c r="C153" i="2"/>
  <c r="Q151" i="2"/>
  <c r="E160" i="2"/>
  <c r="K158" i="2"/>
  <c r="M154" i="2"/>
  <c r="M160" i="2"/>
  <c r="E153" i="2"/>
  <c r="B157" i="2"/>
  <c r="X157" i="2" s="1"/>
  <c r="C151" i="2"/>
  <c r="D150" i="2"/>
  <c r="D156" i="2"/>
  <c r="R152" i="2"/>
  <c r="F156" i="2"/>
  <c r="G155" i="2"/>
  <c r="L161" i="2"/>
  <c r="E161" i="2"/>
  <c r="C155" i="2"/>
  <c r="Q161" i="2"/>
  <c r="E155" i="2"/>
  <c r="M157" i="2"/>
  <c r="F151" i="2"/>
  <c r="M156" i="2"/>
  <c r="M155" i="2"/>
  <c r="F154" i="2"/>
  <c r="F159" i="2"/>
  <c r="Q153" i="2"/>
  <c r="B161" i="2"/>
  <c r="X161" i="2" s="1"/>
  <c r="Q150" i="2"/>
  <c r="E159" i="2"/>
  <c r="F150" i="2"/>
  <c r="R154" i="2"/>
  <c r="J156" i="2"/>
  <c r="E154" i="2"/>
  <c r="R160" i="2"/>
  <c r="C161" i="2"/>
  <c r="N153" i="2"/>
  <c r="D151" i="2"/>
  <c r="L151" i="2"/>
  <c r="K150" i="2"/>
  <c r="N152" i="2"/>
  <c r="G161" i="2"/>
  <c r="M161" i="2"/>
  <c r="M158" i="2"/>
  <c r="C150" i="2"/>
  <c r="L152" i="2"/>
  <c r="L157" i="2"/>
  <c r="L160" i="2"/>
  <c r="C159" i="2"/>
  <c r="E158" i="2"/>
  <c r="E150" i="2"/>
  <c r="G153" i="2"/>
  <c r="F157" i="2"/>
  <c r="J154" i="2"/>
  <c r="N156" i="2"/>
  <c r="R155" i="2"/>
  <c r="B159" i="2"/>
  <c r="X159" i="2" s="1"/>
  <c r="B150" i="2"/>
  <c r="X150" i="2" s="1"/>
  <c r="B160" i="2"/>
  <c r="X160" i="2" s="1"/>
  <c r="N160" i="2"/>
  <c r="G150" i="2"/>
  <c r="R161" i="2"/>
  <c r="N161" i="2"/>
  <c r="G159" i="2"/>
  <c r="D153" i="2"/>
  <c r="G152" i="2"/>
  <c r="C152" i="2"/>
  <c r="J161" i="2"/>
  <c r="B152" i="2"/>
  <c r="X152" i="2" s="1"/>
  <c r="E156" i="2"/>
  <c r="F155" i="2"/>
  <c r="Q156" i="2"/>
  <c r="R153" i="2"/>
  <c r="J159" i="2"/>
  <c r="J158" i="2"/>
  <c r="R157" i="2"/>
  <c r="K157" i="2"/>
  <c r="K160" i="2"/>
  <c r="B158" i="2"/>
  <c r="X158" i="2" s="1"/>
  <c r="L154" i="2"/>
  <c r="J155" i="2"/>
  <c r="D160" i="2"/>
  <c r="B156" i="2"/>
  <c r="X156" i="2" s="1"/>
  <c r="D159" i="2"/>
  <c r="F160" i="2"/>
  <c r="C156" i="2"/>
  <c r="M153" i="2"/>
  <c r="R150" i="2"/>
  <c r="C157" i="2"/>
  <c r="R158" i="2"/>
  <c r="Q152" i="2"/>
  <c r="L156" i="2"/>
  <c r="R151" i="2"/>
  <c r="N150" i="2"/>
  <c r="Q157" i="2"/>
  <c r="E151" i="2"/>
  <c r="J151" i="2"/>
  <c r="K151" i="2"/>
  <c r="G158" i="2"/>
  <c r="B151" i="2"/>
  <c r="X151" i="2" s="1"/>
  <c r="Q154" i="2"/>
  <c r="N158" i="2"/>
  <c r="D158" i="2"/>
  <c r="N154" i="2"/>
  <c r="M152" i="2"/>
  <c r="D157" i="2"/>
  <c r="K161" i="2"/>
  <c r="C160" i="2"/>
  <c r="J152" i="2"/>
  <c r="N151" i="2"/>
  <c r="K153" i="2"/>
  <c r="K159" i="2"/>
  <c r="B153" i="2"/>
  <c r="X153" i="2" s="1"/>
  <c r="Q159" i="2"/>
  <c r="N157" i="2"/>
  <c r="L155" i="2"/>
  <c r="E152" i="2"/>
  <c r="J153" i="2"/>
  <c r="L158" i="2"/>
  <c r="K155" i="2"/>
  <c r="E157" i="2"/>
  <c r="K154" i="2"/>
  <c r="J157" i="2"/>
  <c r="G160" i="2"/>
  <c r="Q158" i="2"/>
  <c r="M151" i="2"/>
  <c r="B155" i="2"/>
  <c r="X155" i="2" s="1"/>
  <c r="F161" i="2"/>
  <c r="F152" i="2"/>
  <c r="F158" i="2"/>
  <c r="D161" i="2"/>
  <c r="G154" i="2"/>
  <c r="G151" i="2"/>
  <c r="D154" i="2"/>
  <c r="C158" i="2"/>
  <c r="L153" i="2"/>
  <c r="C154" i="2"/>
  <c r="K152" i="2"/>
  <c r="D152" i="2"/>
  <c r="B154" i="2"/>
  <c r="X154" i="2" s="1"/>
  <c r="Q155" i="2"/>
  <c r="K156" i="2"/>
  <c r="M150" i="2"/>
  <c r="R156" i="2"/>
  <c r="X149" i="2" l="1"/>
  <c r="E146" i="2"/>
  <c r="E141" i="2"/>
  <c r="M147" i="2"/>
  <c r="Q142" i="2"/>
  <c r="N146" i="2"/>
  <c r="D148" i="2"/>
  <c r="K136" i="2"/>
  <c r="N134" i="2"/>
  <c r="K135" i="2"/>
  <c r="L135" i="2"/>
  <c r="J138" i="2"/>
  <c r="N141" i="2"/>
  <c r="G147" i="2"/>
  <c r="J141" i="2"/>
  <c r="L130" i="2"/>
  <c r="E127" i="2"/>
  <c r="C128" i="2"/>
  <c r="J127" i="2"/>
  <c r="M143" i="2"/>
  <c r="E128" i="2"/>
  <c r="Q146" i="2"/>
  <c r="D129" i="2"/>
  <c r="F130" i="2"/>
  <c r="B141" i="2"/>
  <c r="X141" i="2" s="1"/>
  <c r="N129" i="2"/>
  <c r="N127" i="2"/>
  <c r="F139" i="2"/>
  <c r="R128" i="2"/>
  <c r="R140" i="2"/>
  <c r="C134" i="2"/>
  <c r="G135" i="2"/>
  <c r="M144" i="2"/>
  <c r="K129" i="2"/>
  <c r="N138" i="2"/>
  <c r="F127" i="2"/>
  <c r="G140" i="2"/>
  <c r="R139" i="2"/>
  <c r="D132" i="2"/>
  <c r="Q132" i="2"/>
  <c r="M133" i="2"/>
  <c r="K130" i="2"/>
  <c r="M146" i="2"/>
  <c r="F137" i="2"/>
  <c r="G142" i="2"/>
  <c r="L132" i="2"/>
  <c r="Q128" i="2"/>
  <c r="M136" i="2"/>
  <c r="Q148" i="2"/>
  <c r="N133" i="2"/>
  <c r="J137" i="2"/>
  <c r="B140" i="2"/>
  <c r="X140" i="2" s="1"/>
  <c r="N140" i="2"/>
  <c r="F135" i="2"/>
  <c r="M145" i="2"/>
  <c r="F147" i="2"/>
  <c r="E148" i="2"/>
  <c r="B133" i="2"/>
  <c r="X133" i="2" s="1"/>
  <c r="F136" i="2"/>
  <c r="K143" i="2"/>
  <c r="E142" i="2"/>
  <c r="C141" i="2"/>
  <c r="E132" i="2"/>
  <c r="B147" i="2"/>
  <c r="X147" i="2" s="1"/>
  <c r="R135" i="2"/>
  <c r="C138" i="2"/>
  <c r="F132" i="2"/>
  <c r="C143" i="2"/>
  <c r="G136" i="2"/>
  <c r="G144" i="2"/>
  <c r="Q129" i="2"/>
  <c r="D147" i="2"/>
  <c r="C132" i="2"/>
  <c r="D136" i="2"/>
  <c r="Q133" i="2"/>
  <c r="L145" i="2"/>
  <c r="B136" i="2"/>
  <c r="X136" i="2" s="1"/>
  <c r="Q144" i="2"/>
  <c r="L144" i="2"/>
  <c r="R130" i="2"/>
  <c r="K140" i="2"/>
  <c r="R147" i="2"/>
  <c r="E143" i="2"/>
  <c r="R146" i="2"/>
  <c r="C140" i="2"/>
  <c r="C129" i="2"/>
  <c r="B142" i="2"/>
  <c r="X142" i="2" s="1"/>
  <c r="D142" i="2"/>
  <c r="D141" i="2"/>
  <c r="C137" i="2"/>
  <c r="G129" i="2"/>
  <c r="D128" i="2"/>
  <c r="J134" i="2"/>
  <c r="G141" i="2"/>
  <c r="Q143" i="2"/>
  <c r="D133" i="2"/>
  <c r="Q127" i="2"/>
  <c r="B135" i="2"/>
  <c r="X135" i="2" s="1"/>
  <c r="M129" i="2"/>
  <c r="J143" i="2"/>
  <c r="D130" i="2"/>
  <c r="R138" i="2"/>
  <c r="N130" i="2"/>
  <c r="M131" i="2"/>
  <c r="D143" i="2"/>
  <c r="F143" i="2"/>
  <c r="D137" i="2"/>
  <c r="M148" i="2"/>
  <c r="L148" i="2"/>
  <c r="G146" i="2"/>
  <c r="E139" i="2"/>
  <c r="D140" i="2"/>
  <c r="G137" i="2"/>
  <c r="C133" i="2"/>
  <c r="G134" i="2"/>
  <c r="Q139" i="2"/>
  <c r="M142" i="2"/>
  <c r="Q147" i="2"/>
  <c r="D134" i="2"/>
  <c r="G148" i="2"/>
  <c r="L143" i="2"/>
  <c r="F148" i="2"/>
  <c r="R137" i="2"/>
  <c r="B129" i="2"/>
  <c r="X129" i="2" s="1"/>
  <c r="B139" i="2"/>
  <c r="X139" i="2" s="1"/>
  <c r="G138" i="2"/>
  <c r="N131" i="2"/>
  <c r="N139" i="2"/>
  <c r="R145" i="2"/>
  <c r="R148" i="2"/>
  <c r="Q130" i="2"/>
  <c r="E144" i="2"/>
  <c r="G139" i="2"/>
  <c r="B130" i="2"/>
  <c r="X130" i="2" s="1"/>
  <c r="L136" i="2"/>
  <c r="F141" i="2"/>
  <c r="J136" i="2"/>
  <c r="B144" i="2"/>
  <c r="X144" i="2" s="1"/>
  <c r="J135" i="2"/>
  <c r="M128" i="2"/>
  <c r="L131" i="2"/>
  <c r="D138" i="2"/>
  <c r="E140" i="2"/>
  <c r="G127" i="2"/>
  <c r="Q140" i="2"/>
  <c r="B132" i="2"/>
  <c r="X132" i="2" s="1"/>
  <c r="F146" i="2"/>
  <c r="K147" i="2"/>
  <c r="N143" i="2"/>
  <c r="F138" i="2"/>
  <c r="L129" i="2"/>
  <c r="B138" i="2"/>
  <c r="X138" i="2" s="1"/>
  <c r="K141" i="2"/>
  <c r="L147" i="2"/>
  <c r="L142" i="2"/>
  <c r="L133" i="2"/>
  <c r="N132" i="2"/>
  <c r="Q135" i="2"/>
  <c r="D135" i="2"/>
  <c r="K128" i="2"/>
  <c r="N147" i="2"/>
  <c r="J145" i="2"/>
  <c r="M137" i="2"/>
  <c r="M140" i="2"/>
  <c r="J132" i="2"/>
  <c r="M139" i="2"/>
  <c r="E135" i="2"/>
  <c r="R127" i="2"/>
  <c r="G131" i="2"/>
  <c r="C145" i="2"/>
  <c r="K148" i="2"/>
  <c r="K134" i="2"/>
  <c r="J129" i="2"/>
  <c r="J148" i="2"/>
  <c r="Q141" i="2"/>
  <c r="R144" i="2"/>
  <c r="Q145" i="2"/>
  <c r="B145" i="2"/>
  <c r="X145" i="2" s="1"/>
  <c r="D127" i="2"/>
  <c r="E137" i="2"/>
  <c r="Q137" i="2"/>
  <c r="J128" i="2"/>
  <c r="E136" i="2"/>
  <c r="E138" i="2"/>
  <c r="K137" i="2"/>
  <c r="K146" i="2"/>
  <c r="G145" i="2"/>
  <c r="M134" i="2"/>
  <c r="K132" i="2"/>
  <c r="G130" i="2"/>
  <c r="D146" i="2"/>
  <c r="D131" i="2"/>
  <c r="R133" i="2"/>
  <c r="J140" i="2"/>
  <c r="J144" i="2"/>
  <c r="R134" i="2"/>
  <c r="D144" i="2"/>
  <c r="L140" i="2"/>
  <c r="F145" i="2"/>
  <c r="K142" i="2"/>
  <c r="R132" i="2"/>
  <c r="J130" i="2"/>
  <c r="N142" i="2"/>
  <c r="M141" i="2"/>
  <c r="F144" i="2"/>
  <c r="L137" i="2"/>
  <c r="M130" i="2"/>
  <c r="Q131" i="2"/>
  <c r="C131" i="2"/>
  <c r="K127" i="2"/>
  <c r="N137" i="2"/>
  <c r="G132" i="2"/>
  <c r="R129" i="2"/>
  <c r="F129" i="2"/>
  <c r="N135" i="2"/>
  <c r="E133" i="2"/>
  <c r="C136" i="2"/>
  <c r="E129" i="2"/>
  <c r="K144" i="2"/>
  <c r="E131" i="2"/>
  <c r="K145" i="2"/>
  <c r="C146" i="2"/>
  <c r="D145" i="2"/>
  <c r="K131" i="2"/>
  <c r="J146" i="2"/>
  <c r="C127" i="2"/>
  <c r="R136" i="2"/>
  <c r="K138" i="2"/>
  <c r="F140" i="2"/>
  <c r="R142" i="2"/>
  <c r="R141" i="2"/>
  <c r="Q134" i="2"/>
  <c r="C147" i="2"/>
  <c r="C148" i="2"/>
  <c r="E134" i="2"/>
  <c r="M127" i="2"/>
  <c r="L134" i="2"/>
  <c r="L139" i="2"/>
  <c r="E130" i="2"/>
  <c r="C142" i="2"/>
  <c r="J142" i="2"/>
  <c r="L127" i="2"/>
  <c r="F128" i="2"/>
  <c r="Q136" i="2"/>
  <c r="Q138" i="2"/>
  <c r="D139" i="2"/>
  <c r="B131" i="2"/>
  <c r="X131" i="2" s="1"/>
  <c r="N128" i="2"/>
  <c r="L141" i="2"/>
  <c r="M132" i="2"/>
  <c r="M135" i="2"/>
  <c r="C144" i="2"/>
  <c r="L146" i="2"/>
  <c r="L128" i="2"/>
  <c r="K133" i="2"/>
  <c r="G128" i="2"/>
  <c r="N144" i="2"/>
  <c r="N145" i="2"/>
  <c r="B148" i="2"/>
  <c r="X148" i="2" s="1"/>
  <c r="B128" i="2"/>
  <c r="X128" i="2" s="1"/>
  <c r="J131" i="2"/>
  <c r="J139" i="2"/>
  <c r="N148" i="2"/>
  <c r="F133" i="2"/>
  <c r="G143" i="2"/>
  <c r="C130" i="2"/>
  <c r="B137" i="2"/>
  <c r="X137" i="2" s="1"/>
  <c r="M138" i="2"/>
  <c r="B146" i="2"/>
  <c r="X146" i="2" s="1"/>
  <c r="G133" i="2"/>
  <c r="J147" i="2"/>
  <c r="F134" i="2"/>
  <c r="K139" i="2"/>
  <c r="F142" i="2"/>
  <c r="E147" i="2"/>
  <c r="E145" i="2"/>
  <c r="R131" i="2"/>
  <c r="R143" i="2"/>
  <c r="C135" i="2"/>
  <c r="B143" i="2"/>
  <c r="X143" i="2" s="1"/>
  <c r="B127" i="2"/>
  <c r="X127" i="2" s="1"/>
  <c r="N136" i="2"/>
  <c r="J133" i="2"/>
  <c r="C139" i="2"/>
  <c r="F131" i="2"/>
  <c r="L138" i="2"/>
  <c r="B134" i="2"/>
  <c r="X134" i="2" s="1"/>
  <c r="X126" i="2" l="1"/>
  <c r="M117" i="2"/>
  <c r="J116" i="2"/>
  <c r="G120" i="2"/>
  <c r="R120" i="2"/>
  <c r="D123" i="2"/>
  <c r="C119" i="2"/>
  <c r="G119" i="2"/>
  <c r="J124" i="2"/>
  <c r="J120" i="2"/>
  <c r="F119" i="2"/>
  <c r="L125" i="2"/>
  <c r="J125" i="2"/>
  <c r="K122" i="2"/>
  <c r="L122" i="2"/>
  <c r="C121" i="2"/>
  <c r="M124" i="2"/>
  <c r="L121" i="2"/>
  <c r="B125" i="2"/>
  <c r="X125" i="2" s="1"/>
  <c r="E121" i="2"/>
  <c r="G116" i="2"/>
  <c r="B122" i="2"/>
  <c r="X122" i="2" s="1"/>
  <c r="F121" i="2"/>
  <c r="R121" i="2"/>
  <c r="B124" i="2"/>
  <c r="X124" i="2" s="1"/>
  <c r="E118" i="2"/>
  <c r="B120" i="2"/>
  <c r="X120" i="2" s="1"/>
  <c r="B117" i="2"/>
  <c r="X117" i="2" s="1"/>
  <c r="R123" i="2"/>
  <c r="E124" i="2"/>
  <c r="D122" i="2"/>
  <c r="L120" i="2"/>
  <c r="R119" i="2"/>
  <c r="D116" i="2"/>
  <c r="G122" i="2"/>
  <c r="M121" i="2"/>
  <c r="F116" i="2"/>
  <c r="C125" i="2"/>
  <c r="Q125" i="2"/>
  <c r="L119" i="2"/>
  <c r="E116" i="2"/>
  <c r="M120" i="2"/>
  <c r="F123" i="2"/>
  <c r="B123" i="2"/>
  <c r="X123" i="2" s="1"/>
  <c r="M122" i="2"/>
  <c r="N125" i="2"/>
  <c r="G125" i="2"/>
  <c r="K116" i="2"/>
  <c r="K121" i="2"/>
  <c r="L116" i="2"/>
  <c r="L117" i="2"/>
  <c r="R124" i="2"/>
  <c r="F117" i="2"/>
  <c r="Q116" i="2"/>
  <c r="R118" i="2"/>
  <c r="C120" i="2"/>
  <c r="J119" i="2"/>
  <c r="C118" i="2"/>
  <c r="E120" i="2"/>
  <c r="M119" i="2"/>
  <c r="E125" i="2"/>
  <c r="L123" i="2"/>
  <c r="K123" i="2"/>
  <c r="N122" i="2"/>
  <c r="L124" i="2"/>
  <c r="K125" i="2"/>
  <c r="G123" i="2"/>
  <c r="D117" i="2"/>
  <c r="C123" i="2"/>
  <c r="M116" i="2"/>
  <c r="D124" i="2"/>
  <c r="F120" i="2"/>
  <c r="K118" i="2"/>
  <c r="K124" i="2"/>
  <c r="E119" i="2"/>
  <c r="C116" i="2"/>
  <c r="Q117" i="2"/>
  <c r="Q124" i="2"/>
  <c r="G121" i="2"/>
  <c r="J118" i="2"/>
  <c r="D119" i="2"/>
  <c r="Q121" i="2"/>
  <c r="N117" i="2"/>
  <c r="E123" i="2"/>
  <c r="C124" i="2"/>
  <c r="D125" i="2"/>
  <c r="D121" i="2"/>
  <c r="K119" i="2"/>
  <c r="M123" i="2"/>
  <c r="R125" i="2"/>
  <c r="F125" i="2"/>
  <c r="D120" i="2"/>
  <c r="K117" i="2"/>
  <c r="J117" i="2"/>
  <c r="F124" i="2"/>
  <c r="B121" i="2"/>
  <c r="X121" i="2" s="1"/>
  <c r="N120" i="2"/>
  <c r="J121" i="2"/>
  <c r="N119" i="2"/>
  <c r="K120" i="2"/>
  <c r="M118" i="2"/>
  <c r="D118" i="2"/>
  <c r="C117" i="2"/>
  <c r="B118" i="2"/>
  <c r="X118" i="2" s="1"/>
  <c r="N123" i="2"/>
  <c r="N121" i="2"/>
  <c r="N118" i="2"/>
  <c r="B116" i="2"/>
  <c r="X116" i="2" s="1"/>
  <c r="E122" i="2"/>
  <c r="R117" i="2"/>
  <c r="R116" i="2"/>
  <c r="G117" i="2"/>
  <c r="E117" i="2"/>
  <c r="N116" i="2"/>
  <c r="Q123" i="2"/>
  <c r="Q120" i="2"/>
  <c r="Q119" i="2"/>
  <c r="M125" i="2"/>
  <c r="F118" i="2"/>
  <c r="R122" i="2"/>
  <c r="G124" i="2"/>
  <c r="Q118" i="2"/>
  <c r="Q122" i="2"/>
  <c r="J123" i="2"/>
  <c r="N124" i="2"/>
  <c r="B119" i="2"/>
  <c r="X119" i="2" s="1"/>
  <c r="G118" i="2"/>
  <c r="J122" i="2"/>
  <c r="L118" i="2"/>
  <c r="C122" i="2"/>
  <c r="F122" i="2"/>
  <c r="X115" i="2" l="1"/>
  <c r="J114" i="2"/>
  <c r="R99" i="2"/>
  <c r="N100" i="2"/>
  <c r="M108" i="2"/>
  <c r="G106" i="2"/>
  <c r="N102" i="2"/>
  <c r="Q103" i="2"/>
  <c r="L103" i="2"/>
  <c r="J97" i="2"/>
  <c r="G105" i="2"/>
  <c r="B102" i="2"/>
  <c r="X102" i="2" s="1"/>
  <c r="G101" i="2"/>
  <c r="C105" i="2"/>
  <c r="E111" i="2"/>
  <c r="Q96" i="2"/>
  <c r="R109" i="2"/>
  <c r="D100" i="2"/>
  <c r="L108" i="2"/>
  <c r="M104" i="2"/>
  <c r="D101" i="2"/>
  <c r="D99" i="2"/>
  <c r="B111" i="2"/>
  <c r="X111" i="2" s="1"/>
  <c r="L102" i="2"/>
  <c r="Q110" i="2"/>
  <c r="Q112" i="2"/>
  <c r="F106" i="2"/>
  <c r="E106" i="2"/>
  <c r="C103" i="2"/>
  <c r="L114" i="2"/>
  <c r="K101" i="2"/>
  <c r="K108" i="2"/>
  <c r="J98" i="2"/>
  <c r="J96" i="2"/>
  <c r="R100" i="2"/>
  <c r="G110" i="2"/>
  <c r="C104" i="2"/>
  <c r="E100" i="2"/>
  <c r="N99" i="2"/>
  <c r="E108" i="2"/>
  <c r="B113" i="2"/>
  <c r="X113" i="2" s="1"/>
  <c r="D104" i="2"/>
  <c r="D96" i="2"/>
  <c r="K114" i="2"/>
  <c r="R102" i="2"/>
  <c r="N96" i="2"/>
  <c r="R112" i="2"/>
  <c r="E110" i="2"/>
  <c r="K110" i="2"/>
  <c r="K111" i="2"/>
  <c r="E102" i="2"/>
  <c r="Q109" i="2"/>
  <c r="Q100" i="2"/>
  <c r="J109" i="2"/>
  <c r="L107" i="2"/>
  <c r="N101" i="2"/>
  <c r="Q105" i="2"/>
  <c r="M110" i="2"/>
  <c r="N110" i="2"/>
  <c r="J110" i="2"/>
  <c r="E96" i="2"/>
  <c r="M111" i="2"/>
  <c r="G99" i="2"/>
  <c r="B109" i="2"/>
  <c r="X109" i="2" s="1"/>
  <c r="J101" i="2"/>
  <c r="K98" i="2"/>
  <c r="Q111" i="2"/>
  <c r="Q113" i="2"/>
  <c r="G108" i="2"/>
  <c r="R98" i="2"/>
  <c r="D112" i="2"/>
  <c r="M102" i="2"/>
  <c r="E103" i="2"/>
  <c r="F102" i="2"/>
  <c r="C96" i="2"/>
  <c r="D109" i="2"/>
  <c r="K104" i="2"/>
  <c r="F103" i="2"/>
  <c r="B101" i="2"/>
  <c r="X101" i="2" s="1"/>
  <c r="C98" i="2"/>
  <c r="M105" i="2"/>
  <c r="G102" i="2"/>
  <c r="B112" i="2"/>
  <c r="X112" i="2" s="1"/>
  <c r="G114" i="2"/>
  <c r="K106" i="2"/>
  <c r="J108" i="2"/>
  <c r="K97" i="2"/>
  <c r="E112" i="2"/>
  <c r="G100" i="2"/>
  <c r="J100" i="2"/>
  <c r="G107" i="2"/>
  <c r="F108" i="2"/>
  <c r="K103" i="2"/>
  <c r="L97" i="2"/>
  <c r="J107" i="2"/>
  <c r="G104" i="2"/>
  <c r="B114" i="2"/>
  <c r="X114" i="2" s="1"/>
  <c r="D102" i="2"/>
  <c r="D105" i="2"/>
  <c r="L99" i="2"/>
  <c r="N106" i="2"/>
  <c r="N113" i="2"/>
  <c r="R97" i="2"/>
  <c r="J112" i="2"/>
  <c r="C111" i="2"/>
  <c r="Q108" i="2"/>
  <c r="L111" i="2"/>
  <c r="F111" i="2"/>
  <c r="B103" i="2"/>
  <c r="X103" i="2" s="1"/>
  <c r="R104" i="2"/>
  <c r="J105" i="2"/>
  <c r="N108" i="2"/>
  <c r="M99" i="2"/>
  <c r="J103" i="2"/>
  <c r="D114" i="2"/>
  <c r="J102" i="2"/>
  <c r="D106" i="2"/>
  <c r="B96" i="2"/>
  <c r="X96" i="2" s="1"/>
  <c r="J111" i="2"/>
  <c r="R106" i="2"/>
  <c r="B110" i="2"/>
  <c r="X110" i="2" s="1"/>
  <c r="Q107" i="2"/>
  <c r="N107" i="2"/>
  <c r="J113" i="2"/>
  <c r="F100" i="2"/>
  <c r="J104" i="2"/>
  <c r="B99" i="2"/>
  <c r="X99" i="2" s="1"/>
  <c r="C106" i="2"/>
  <c r="Q101" i="2"/>
  <c r="F110" i="2"/>
  <c r="N114" i="2"/>
  <c r="F96" i="2"/>
  <c r="M103" i="2"/>
  <c r="N104" i="2"/>
  <c r="C99" i="2"/>
  <c r="K107" i="2"/>
  <c r="R101" i="2"/>
  <c r="E99" i="2"/>
  <c r="N97" i="2"/>
  <c r="F105" i="2"/>
  <c r="L106" i="2"/>
  <c r="Q97" i="2"/>
  <c r="E105" i="2"/>
  <c r="M100" i="2"/>
  <c r="M107" i="2"/>
  <c r="F97" i="2"/>
  <c r="L96" i="2"/>
  <c r="D98" i="2"/>
  <c r="L109" i="2"/>
  <c r="C100" i="2"/>
  <c r="K105" i="2"/>
  <c r="M113" i="2"/>
  <c r="D113" i="2"/>
  <c r="Q104" i="2"/>
  <c r="L110" i="2"/>
  <c r="R107" i="2"/>
  <c r="L113" i="2"/>
  <c r="C112" i="2"/>
  <c r="C113" i="2"/>
  <c r="E104" i="2"/>
  <c r="M114" i="2"/>
  <c r="M101" i="2"/>
  <c r="J99" i="2"/>
  <c r="B98" i="2"/>
  <c r="X98" i="2" s="1"/>
  <c r="Q99" i="2"/>
  <c r="E114" i="2"/>
  <c r="M97" i="2"/>
  <c r="K102" i="2"/>
  <c r="E101" i="2"/>
  <c r="R108" i="2"/>
  <c r="C101" i="2"/>
  <c r="G103" i="2"/>
  <c r="C107" i="2"/>
  <c r="B100" i="2"/>
  <c r="X100" i="2" s="1"/>
  <c r="R114" i="2"/>
  <c r="C102" i="2"/>
  <c r="R111" i="2"/>
  <c r="L105" i="2"/>
  <c r="E98" i="2"/>
  <c r="G111" i="2"/>
  <c r="K99" i="2"/>
  <c r="M106" i="2"/>
  <c r="G112" i="2"/>
  <c r="B97" i="2"/>
  <c r="X97" i="2" s="1"/>
  <c r="C114" i="2"/>
  <c r="R110" i="2"/>
  <c r="F104" i="2"/>
  <c r="R105" i="2"/>
  <c r="M112" i="2"/>
  <c r="Q98" i="2"/>
  <c r="D103" i="2"/>
  <c r="R96" i="2"/>
  <c r="N98" i="2"/>
  <c r="G98" i="2"/>
  <c r="F109" i="2"/>
  <c r="G97" i="2"/>
  <c r="N109" i="2"/>
  <c r="L101" i="2"/>
  <c r="E107" i="2"/>
  <c r="D97" i="2"/>
  <c r="N111" i="2"/>
  <c r="L98" i="2"/>
  <c r="D111" i="2"/>
  <c r="F98" i="2"/>
  <c r="B104" i="2"/>
  <c r="X104" i="2" s="1"/>
  <c r="N103" i="2"/>
  <c r="K113" i="2"/>
  <c r="F107" i="2"/>
  <c r="G109" i="2"/>
  <c r="F114" i="2"/>
  <c r="F101" i="2"/>
  <c r="F113" i="2"/>
  <c r="Q114" i="2"/>
  <c r="Q106" i="2"/>
  <c r="C108" i="2"/>
  <c r="N105" i="2"/>
  <c r="C109" i="2"/>
  <c r="L100" i="2"/>
  <c r="R103" i="2"/>
  <c r="L104" i="2"/>
  <c r="B105" i="2"/>
  <c r="X105" i="2" s="1"/>
  <c r="G96" i="2"/>
  <c r="B107" i="2"/>
  <c r="X107" i="2" s="1"/>
  <c r="E97" i="2"/>
  <c r="J106" i="2"/>
  <c r="K112" i="2"/>
  <c r="E109" i="2"/>
  <c r="D108" i="2"/>
  <c r="D107" i="2"/>
  <c r="K96" i="2"/>
  <c r="G113" i="2"/>
  <c r="R113" i="2"/>
  <c r="F112" i="2"/>
  <c r="M109" i="2"/>
  <c r="B106" i="2"/>
  <c r="X106" i="2" s="1"/>
  <c r="L112" i="2"/>
  <c r="M96" i="2"/>
  <c r="C97" i="2"/>
  <c r="B108" i="2"/>
  <c r="X108" i="2" s="1"/>
  <c r="N112" i="2"/>
  <c r="F99" i="2"/>
  <c r="K109" i="2"/>
  <c r="D110" i="2"/>
  <c r="M98" i="2"/>
  <c r="C110" i="2"/>
  <c r="K100" i="2"/>
  <c r="Q102" i="2"/>
  <c r="E113" i="2"/>
  <c r="X95" i="2" l="1"/>
  <c r="Q89" i="2"/>
  <c r="F90" i="2"/>
  <c r="C92" i="2"/>
  <c r="E89" i="2"/>
  <c r="K89" i="2"/>
  <c r="D92" i="2"/>
  <c r="N89" i="2"/>
  <c r="K93" i="2"/>
  <c r="K91" i="2"/>
  <c r="G89" i="2"/>
  <c r="E90" i="2"/>
  <c r="B93" i="2"/>
  <c r="X93" i="2" s="1"/>
  <c r="Q90" i="2"/>
  <c r="E94" i="2"/>
  <c r="J92" i="2"/>
  <c r="J90" i="2"/>
  <c r="R93" i="2"/>
  <c r="D94" i="2"/>
  <c r="L90" i="2"/>
  <c r="J89" i="2"/>
  <c r="M89" i="2"/>
  <c r="J93" i="2"/>
  <c r="D91" i="2"/>
  <c r="F91" i="2"/>
  <c r="K90" i="2"/>
  <c r="N90" i="2"/>
  <c r="E93" i="2"/>
  <c r="N94" i="2"/>
  <c r="B94" i="2"/>
  <c r="X94" i="2" s="1"/>
  <c r="R94" i="2"/>
  <c r="C89" i="2"/>
  <c r="N91" i="2"/>
  <c r="C90" i="2"/>
  <c r="Q93" i="2"/>
  <c r="Q92" i="2"/>
  <c r="N93" i="2"/>
  <c r="Q91" i="2"/>
  <c r="G90" i="2"/>
  <c r="L93" i="2"/>
  <c r="R90" i="2"/>
  <c r="M91" i="2"/>
  <c r="B89" i="2"/>
  <c r="X89" i="2" s="1"/>
  <c r="F93" i="2"/>
  <c r="F94" i="2"/>
  <c r="C94" i="2"/>
  <c r="C93" i="2"/>
  <c r="G93" i="2"/>
  <c r="L94" i="2"/>
  <c r="L89" i="2"/>
  <c r="N92" i="2"/>
  <c r="F89" i="2"/>
  <c r="E91" i="2"/>
  <c r="J94" i="2"/>
  <c r="M93" i="2"/>
  <c r="B91" i="2"/>
  <c r="X91" i="2" s="1"/>
  <c r="J91" i="2"/>
  <c r="G94" i="2"/>
  <c r="B90" i="2"/>
  <c r="X90" i="2" s="1"/>
  <c r="L92" i="2"/>
  <c r="M94" i="2"/>
  <c r="K92" i="2"/>
  <c r="K94" i="2"/>
  <c r="L91" i="2"/>
  <c r="R89" i="2"/>
  <c r="M90" i="2"/>
  <c r="M92" i="2"/>
  <c r="G91" i="2"/>
  <c r="C91" i="2"/>
  <c r="D89" i="2"/>
  <c r="G92" i="2"/>
  <c r="F92" i="2"/>
  <c r="R91" i="2"/>
  <c r="Q94" i="2"/>
  <c r="B92" i="2"/>
  <c r="X92" i="2" s="1"/>
  <c r="D90" i="2"/>
  <c r="R92" i="2"/>
  <c r="D93" i="2"/>
  <c r="E92" i="2"/>
  <c r="X88" i="2" l="1"/>
  <c r="B80" i="2"/>
  <c r="X80" i="2" s="1"/>
  <c r="B86" i="2"/>
  <c r="X86" i="2" s="1"/>
  <c r="B82" i="2"/>
  <c r="X82" i="2" s="1"/>
  <c r="C86" i="2"/>
  <c r="Q86" i="2"/>
  <c r="C84" i="2"/>
  <c r="D82" i="2"/>
  <c r="K87" i="2"/>
  <c r="D81" i="2"/>
  <c r="E86" i="2"/>
  <c r="G87" i="2"/>
  <c r="D84" i="2"/>
  <c r="K85" i="2"/>
  <c r="G86" i="2"/>
  <c r="L84" i="2"/>
  <c r="N81" i="2"/>
  <c r="E81" i="2"/>
  <c r="Q85" i="2"/>
  <c r="F86" i="2"/>
  <c r="K84" i="2"/>
  <c r="C85" i="2"/>
  <c r="Q81" i="2"/>
  <c r="E80" i="2"/>
  <c r="G83" i="2"/>
  <c r="M84" i="2"/>
  <c r="J87" i="2"/>
  <c r="L80" i="2"/>
  <c r="F82" i="2"/>
  <c r="D80" i="2"/>
  <c r="K82" i="2"/>
  <c r="M82" i="2"/>
  <c r="C87" i="2"/>
  <c r="G80" i="2"/>
  <c r="C80" i="2"/>
  <c r="G84" i="2"/>
  <c r="L85" i="2"/>
  <c r="D86" i="2"/>
  <c r="E82" i="2"/>
  <c r="M86" i="2"/>
  <c r="L81" i="2"/>
  <c r="C82" i="2"/>
  <c r="C83" i="2"/>
  <c r="J85" i="2"/>
  <c r="L87" i="2"/>
  <c r="E85" i="2"/>
  <c r="J86" i="2"/>
  <c r="B81" i="2"/>
  <c r="X81" i="2" s="1"/>
  <c r="E87" i="2"/>
  <c r="Q83" i="2"/>
  <c r="J83" i="2"/>
  <c r="N84" i="2"/>
  <c r="B87" i="2"/>
  <c r="X87" i="2" s="1"/>
  <c r="Q80" i="2"/>
  <c r="R80" i="2"/>
  <c r="M85" i="2"/>
  <c r="M87" i="2"/>
  <c r="J84" i="2"/>
  <c r="L83" i="2"/>
  <c r="K83" i="2"/>
  <c r="L82" i="2"/>
  <c r="N86" i="2"/>
  <c r="R82" i="2"/>
  <c r="L86" i="2"/>
  <c r="Q84" i="2"/>
  <c r="M83" i="2"/>
  <c r="Q82" i="2"/>
  <c r="B85" i="2"/>
  <c r="X85" i="2" s="1"/>
  <c r="F81" i="2"/>
  <c r="R86" i="2"/>
  <c r="B84" i="2"/>
  <c r="X84" i="2" s="1"/>
  <c r="Q87" i="2"/>
  <c r="R83" i="2"/>
  <c r="R84" i="2"/>
  <c r="R81" i="2"/>
  <c r="D83" i="2"/>
  <c r="K86" i="2"/>
  <c r="G85" i="2"/>
  <c r="F87" i="2"/>
  <c r="F83" i="2"/>
  <c r="J81" i="2"/>
  <c r="G82" i="2"/>
  <c r="M80" i="2"/>
  <c r="J80" i="2"/>
  <c r="C81" i="2"/>
  <c r="J82" i="2"/>
  <c r="N80" i="2"/>
  <c r="E84" i="2"/>
  <c r="D87" i="2"/>
  <c r="N87" i="2"/>
  <c r="F85" i="2"/>
  <c r="K80" i="2"/>
  <c r="N82" i="2"/>
  <c r="N83" i="2"/>
  <c r="G81" i="2"/>
  <c r="R85" i="2"/>
  <c r="K81" i="2"/>
  <c r="N85" i="2"/>
  <c r="R87" i="2"/>
  <c r="D85" i="2"/>
  <c r="B83" i="2"/>
  <c r="X83" i="2" s="1"/>
  <c r="F84" i="2"/>
  <c r="E83" i="2"/>
  <c r="F80" i="2"/>
  <c r="M81" i="2"/>
  <c r="X79" i="2" l="1"/>
  <c r="B65" i="2"/>
  <c r="X65" i="2" s="1"/>
  <c r="G70" i="2"/>
  <c r="L69" i="2"/>
  <c r="G71" i="2"/>
  <c r="K76" i="2"/>
  <c r="L66" i="2"/>
  <c r="R74" i="2"/>
  <c r="J77" i="2"/>
  <c r="Q62" i="2"/>
  <c r="C72" i="2"/>
  <c r="B73" i="2"/>
  <c r="X73" i="2" s="1"/>
  <c r="L67" i="2"/>
  <c r="M64" i="2"/>
  <c r="D62" i="2"/>
  <c r="J68" i="2"/>
  <c r="E63" i="2"/>
  <c r="C62" i="2"/>
  <c r="L71" i="2"/>
  <c r="K78" i="2"/>
  <c r="C78" i="2"/>
  <c r="E65" i="2"/>
  <c r="M65" i="2"/>
  <c r="L75" i="2"/>
  <c r="D66" i="2"/>
  <c r="Q67" i="2"/>
  <c r="Q68" i="2"/>
  <c r="R70" i="2"/>
  <c r="J75" i="2"/>
  <c r="R78" i="2"/>
  <c r="D67" i="2"/>
  <c r="R62" i="2"/>
  <c r="N69" i="2"/>
  <c r="M72" i="2"/>
  <c r="C76" i="2"/>
  <c r="Q70" i="2"/>
  <c r="K66" i="2"/>
  <c r="D63" i="2"/>
  <c r="G68" i="2"/>
  <c r="D73" i="2"/>
  <c r="E62" i="2"/>
  <c r="N76" i="2"/>
  <c r="E76" i="2"/>
  <c r="F76" i="2"/>
  <c r="N74" i="2"/>
  <c r="L63" i="2"/>
  <c r="E77" i="2"/>
  <c r="K67" i="2"/>
  <c r="C73" i="2"/>
  <c r="L76" i="2"/>
  <c r="Q69" i="2"/>
  <c r="J73" i="2"/>
  <c r="M77" i="2"/>
  <c r="D70" i="2"/>
  <c r="L68" i="2"/>
  <c r="R68" i="2"/>
  <c r="N77" i="2"/>
  <c r="F66" i="2"/>
  <c r="M67" i="2"/>
  <c r="G65" i="2"/>
  <c r="M75" i="2"/>
  <c r="N68" i="2"/>
  <c r="D65" i="2"/>
  <c r="D69" i="2"/>
  <c r="C77" i="2"/>
  <c r="L78" i="2"/>
  <c r="B69" i="2"/>
  <c r="X69" i="2" s="1"/>
  <c r="L70" i="2"/>
  <c r="G78" i="2"/>
  <c r="D75" i="2"/>
  <c r="Q73" i="2"/>
  <c r="E69" i="2"/>
  <c r="N73" i="2"/>
  <c r="J70" i="2"/>
  <c r="F62" i="2"/>
  <c r="F67" i="2"/>
  <c r="Q78" i="2"/>
  <c r="E66" i="2"/>
  <c r="D68" i="2"/>
  <c r="Q77" i="2"/>
  <c r="M76" i="2"/>
  <c r="F75" i="2"/>
  <c r="F64" i="2"/>
  <c r="E71" i="2"/>
  <c r="G74" i="2"/>
  <c r="F74" i="2"/>
  <c r="B67" i="2"/>
  <c r="X67" i="2" s="1"/>
  <c r="J72" i="2"/>
  <c r="N75" i="2"/>
  <c r="C69" i="2"/>
  <c r="K75" i="2"/>
  <c r="G63" i="2"/>
  <c r="N62" i="2"/>
  <c r="C65" i="2"/>
  <c r="K62" i="2"/>
  <c r="C74" i="2"/>
  <c r="M63" i="2"/>
  <c r="B75" i="2"/>
  <c r="X75" i="2" s="1"/>
  <c r="C67" i="2"/>
  <c r="C63" i="2"/>
  <c r="G77" i="2"/>
  <c r="L73" i="2"/>
  <c r="M78" i="2"/>
  <c r="J74" i="2"/>
  <c r="M74" i="2"/>
  <c r="F73" i="2"/>
  <c r="J67" i="2"/>
  <c r="Q65" i="2"/>
  <c r="C71" i="2"/>
  <c r="J71" i="2"/>
  <c r="D76" i="2"/>
  <c r="E68" i="2"/>
  <c r="L64" i="2"/>
  <c r="M71" i="2"/>
  <c r="K68" i="2"/>
  <c r="K72" i="2"/>
  <c r="N66" i="2"/>
  <c r="R75" i="2"/>
  <c r="G76" i="2"/>
  <c r="G67" i="2"/>
  <c r="F72" i="2"/>
  <c r="D74" i="2"/>
  <c r="B74" i="2"/>
  <c r="X74" i="2" s="1"/>
  <c r="B63" i="2"/>
  <c r="X63" i="2" s="1"/>
  <c r="L74" i="2"/>
  <c r="E75" i="2"/>
  <c r="N72" i="2"/>
  <c r="B77" i="2"/>
  <c r="X77" i="2" s="1"/>
  <c r="Q64" i="2"/>
  <c r="G75" i="2"/>
  <c r="M70" i="2"/>
  <c r="C68" i="2"/>
  <c r="F78" i="2"/>
  <c r="R66" i="2"/>
  <c r="F71" i="2"/>
  <c r="L77" i="2"/>
  <c r="Q76" i="2"/>
  <c r="B64" i="2"/>
  <c r="X64" i="2" s="1"/>
  <c r="F68" i="2"/>
  <c r="R64" i="2"/>
  <c r="B68" i="2"/>
  <c r="X68" i="2" s="1"/>
  <c r="B72" i="2"/>
  <c r="X72" i="2" s="1"/>
  <c r="R72" i="2"/>
  <c r="C75" i="2"/>
  <c r="E64" i="2"/>
  <c r="L65" i="2"/>
  <c r="E70" i="2"/>
  <c r="J78" i="2"/>
  <c r="D72" i="2"/>
  <c r="N78" i="2"/>
  <c r="K70" i="2"/>
  <c r="J69" i="2"/>
  <c r="N71" i="2"/>
  <c r="C64" i="2"/>
  <c r="B70" i="2"/>
  <c r="X70" i="2" s="1"/>
  <c r="B62" i="2"/>
  <c r="X62" i="2" s="1"/>
  <c r="R76" i="2"/>
  <c r="M66" i="2"/>
  <c r="R69" i="2"/>
  <c r="R77" i="2"/>
  <c r="Q74" i="2"/>
  <c r="L72" i="2"/>
  <c r="J66" i="2"/>
  <c r="N65" i="2"/>
  <c r="K63" i="2"/>
  <c r="J62" i="2"/>
  <c r="B76" i="2"/>
  <c r="X76" i="2" s="1"/>
  <c r="R63" i="2"/>
  <c r="G69" i="2"/>
  <c r="N70" i="2"/>
  <c r="C70" i="2"/>
  <c r="F77" i="2"/>
  <c r="K64" i="2"/>
  <c r="N67" i="2"/>
  <c r="D71" i="2"/>
  <c r="K71" i="2"/>
  <c r="G73" i="2"/>
  <c r="J65" i="2"/>
  <c r="J64" i="2"/>
  <c r="F63" i="2"/>
  <c r="E72" i="2"/>
  <c r="G66" i="2"/>
  <c r="R73" i="2"/>
  <c r="N63" i="2"/>
  <c r="Q66" i="2"/>
  <c r="E67" i="2"/>
  <c r="C66" i="2"/>
  <c r="K69" i="2"/>
  <c r="G62" i="2"/>
  <c r="E74" i="2"/>
  <c r="M62" i="2"/>
  <c r="Q75" i="2"/>
  <c r="K77" i="2"/>
  <c r="K73" i="2"/>
  <c r="Q63" i="2"/>
  <c r="B78" i="2"/>
  <c r="X78" i="2" s="1"/>
  <c r="M73" i="2"/>
  <c r="M69" i="2"/>
  <c r="E78" i="2"/>
  <c r="D78" i="2"/>
  <c r="R67" i="2"/>
  <c r="R65" i="2"/>
  <c r="N64" i="2"/>
  <c r="F69" i="2"/>
  <c r="F70" i="2"/>
  <c r="M68" i="2"/>
  <c r="B71" i="2"/>
  <c r="X71" i="2" s="1"/>
  <c r="K74" i="2"/>
  <c r="E73" i="2"/>
  <c r="Q72" i="2"/>
  <c r="J76" i="2"/>
  <c r="G64" i="2"/>
  <c r="L62" i="2"/>
  <c r="D64" i="2"/>
  <c r="D77" i="2"/>
  <c r="G72" i="2"/>
  <c r="J63" i="2"/>
  <c r="Q71" i="2"/>
  <c r="F65" i="2"/>
  <c r="B66" i="2"/>
  <c r="X66" i="2" s="1"/>
  <c r="R71" i="2"/>
  <c r="K65" i="2"/>
  <c r="X61" i="2" l="1"/>
  <c r="R56" i="2"/>
  <c r="R60" i="2"/>
  <c r="R57" i="2"/>
  <c r="E60" i="2"/>
  <c r="M56" i="2"/>
  <c r="G56" i="2"/>
  <c r="N55" i="2"/>
  <c r="E58" i="2"/>
  <c r="B57" i="2"/>
  <c r="X57" i="2" s="1"/>
  <c r="Q58" i="2"/>
  <c r="K56" i="2"/>
  <c r="D55" i="2"/>
  <c r="K58" i="2"/>
  <c r="J59" i="2"/>
  <c r="J56" i="2"/>
  <c r="B56" i="2"/>
  <c r="X56" i="2" s="1"/>
  <c r="F59" i="2"/>
  <c r="F56" i="2"/>
  <c r="J60" i="2"/>
  <c r="C60" i="2"/>
  <c r="G58" i="2"/>
  <c r="E55" i="2"/>
  <c r="G57" i="2"/>
  <c r="C56" i="2"/>
  <c r="L60" i="2"/>
  <c r="G55" i="2"/>
  <c r="Q59" i="2"/>
  <c r="D56" i="2"/>
  <c r="M57" i="2"/>
  <c r="F57" i="2"/>
  <c r="N59" i="2"/>
  <c r="J55" i="2"/>
  <c r="K60" i="2"/>
  <c r="Q56" i="2"/>
  <c r="K59" i="2"/>
  <c r="L57" i="2"/>
  <c r="E59" i="2"/>
  <c r="F60" i="2"/>
  <c r="B59" i="2"/>
  <c r="X59" i="2" s="1"/>
  <c r="L55" i="2"/>
  <c r="K55" i="2"/>
  <c r="J58" i="2"/>
  <c r="B58" i="2"/>
  <c r="X58" i="2" s="1"/>
  <c r="D60" i="2"/>
  <c r="N57" i="2"/>
  <c r="D58" i="2"/>
  <c r="Q57" i="2"/>
  <c r="N56" i="2"/>
  <c r="B60" i="2"/>
  <c r="X60" i="2" s="1"/>
  <c r="F58" i="2"/>
  <c r="L56" i="2"/>
  <c r="G60" i="2"/>
  <c r="Q55" i="2"/>
  <c r="F55" i="2"/>
  <c r="C58" i="2"/>
  <c r="D59" i="2"/>
  <c r="M55" i="2"/>
  <c r="J57" i="2"/>
  <c r="L58" i="2"/>
  <c r="C55" i="2"/>
  <c r="R58" i="2"/>
  <c r="N58" i="2"/>
  <c r="G59" i="2"/>
  <c r="C59" i="2"/>
  <c r="N60" i="2"/>
  <c r="R59" i="2"/>
  <c r="L59" i="2"/>
  <c r="R55" i="2"/>
  <c r="D57" i="2"/>
  <c r="B55" i="2"/>
  <c r="X55" i="2" s="1"/>
  <c r="E56" i="2"/>
  <c r="K57" i="2"/>
  <c r="Q60" i="2"/>
  <c r="E57" i="2"/>
  <c r="C57" i="2"/>
  <c r="M59" i="2"/>
  <c r="M58" i="2"/>
  <c r="M60" i="2"/>
  <c r="X54" i="2" l="1"/>
  <c r="M43" i="2"/>
  <c r="N48" i="2"/>
  <c r="M44" i="2"/>
  <c r="E52" i="2"/>
  <c r="R46" i="2"/>
  <c r="J43" i="2"/>
  <c r="L47" i="2"/>
  <c r="G46" i="2"/>
  <c r="E43" i="2"/>
  <c r="R45" i="2"/>
  <c r="C51" i="2"/>
  <c r="D50" i="2"/>
  <c r="L53" i="2"/>
  <c r="E45" i="2"/>
  <c r="B51" i="2"/>
  <c r="X51" i="2" s="1"/>
  <c r="D45" i="2"/>
  <c r="L49" i="2"/>
  <c r="L50" i="2"/>
  <c r="L45" i="2"/>
  <c r="M47" i="2"/>
  <c r="Q49" i="2"/>
  <c r="L48" i="2"/>
  <c r="R48" i="2"/>
  <c r="J44" i="2"/>
  <c r="B43" i="2"/>
  <c r="X43" i="2" s="1"/>
  <c r="R50" i="2"/>
  <c r="C46" i="2"/>
  <c r="B48" i="2"/>
  <c r="X48" i="2" s="1"/>
  <c r="J51" i="2"/>
  <c r="N43" i="2"/>
  <c r="R51" i="2"/>
  <c r="R49" i="2"/>
  <c r="J45" i="2"/>
  <c r="K45" i="2"/>
  <c r="K50" i="2"/>
  <c r="C48" i="2"/>
  <c r="G50" i="2"/>
  <c r="D52" i="2"/>
  <c r="G49" i="2"/>
  <c r="J48" i="2"/>
  <c r="G43" i="2"/>
  <c r="M49" i="2"/>
  <c r="L43" i="2"/>
  <c r="G44" i="2"/>
  <c r="B45" i="2"/>
  <c r="X45" i="2" s="1"/>
  <c r="K43" i="2"/>
  <c r="B44" i="2"/>
  <c r="X44" i="2" s="1"/>
  <c r="F50" i="2"/>
  <c r="F42" i="2"/>
  <c r="R52" i="2"/>
  <c r="M53" i="2"/>
  <c r="M52" i="2"/>
  <c r="M50" i="2"/>
  <c r="C50" i="2"/>
  <c r="C43" i="2"/>
  <c r="Q44" i="2"/>
  <c r="G51" i="2"/>
  <c r="D46" i="2"/>
  <c r="E49" i="2"/>
  <c r="L46" i="2"/>
  <c r="M42" i="2"/>
  <c r="D44" i="2"/>
  <c r="Q46" i="2"/>
  <c r="F53" i="2"/>
  <c r="B49" i="2"/>
  <c r="X49" i="2" s="1"/>
  <c r="E42" i="2"/>
  <c r="N42" i="2"/>
  <c r="L52" i="2"/>
  <c r="N49" i="2"/>
  <c r="D42" i="2"/>
  <c r="G42" i="2"/>
  <c r="D48" i="2"/>
  <c r="N52" i="2"/>
  <c r="G45" i="2"/>
  <c r="F46" i="2"/>
  <c r="K47" i="2"/>
  <c r="Q50" i="2"/>
  <c r="L42" i="2"/>
  <c r="N45" i="2"/>
  <c r="R42" i="2"/>
  <c r="B42" i="2"/>
  <c r="X42" i="2" s="1"/>
  <c r="N47" i="2"/>
  <c r="E46" i="2"/>
  <c r="Q47" i="2"/>
  <c r="K52" i="2"/>
  <c r="F52" i="2"/>
  <c r="N50" i="2"/>
  <c r="J42" i="2"/>
  <c r="F49" i="2"/>
  <c r="Q43" i="2"/>
  <c r="Q51" i="2"/>
  <c r="C44" i="2"/>
  <c r="Q53" i="2"/>
  <c r="B50" i="2"/>
  <c r="X50" i="2" s="1"/>
  <c r="D51" i="2"/>
  <c r="N46" i="2"/>
  <c r="E47" i="2"/>
  <c r="M51" i="2"/>
  <c r="F44" i="2"/>
  <c r="Q48" i="2"/>
  <c r="G52" i="2"/>
  <c r="G53" i="2"/>
  <c r="J52" i="2"/>
  <c r="K51" i="2"/>
  <c r="G47" i="2"/>
  <c r="N53" i="2"/>
  <c r="N51" i="2"/>
  <c r="B53" i="2"/>
  <c r="X53" i="2" s="1"/>
  <c r="J47" i="2"/>
  <c r="Q42" i="2"/>
  <c r="B52" i="2"/>
  <c r="X52" i="2" s="1"/>
  <c r="M46" i="2"/>
  <c r="C42" i="2"/>
  <c r="J53" i="2"/>
  <c r="J50" i="2"/>
  <c r="K42" i="2"/>
  <c r="C47" i="2"/>
  <c r="E48" i="2"/>
  <c r="F51" i="2"/>
  <c r="L51" i="2"/>
  <c r="K48" i="2"/>
  <c r="K49" i="2"/>
  <c r="J46" i="2"/>
  <c r="J49" i="2"/>
  <c r="F48" i="2"/>
  <c r="Q45" i="2"/>
  <c r="R44" i="2"/>
  <c r="N44" i="2"/>
  <c r="R47" i="2"/>
  <c r="K53" i="2"/>
  <c r="C52" i="2"/>
  <c r="F47" i="2"/>
  <c r="M48" i="2"/>
  <c r="C53" i="2"/>
  <c r="D47" i="2"/>
  <c r="L44" i="2"/>
  <c r="D53" i="2"/>
  <c r="B47" i="2"/>
  <c r="X47" i="2" s="1"/>
  <c r="E44" i="2"/>
  <c r="E50" i="2"/>
  <c r="D43" i="2"/>
  <c r="K46" i="2"/>
  <c r="E51" i="2"/>
  <c r="C49" i="2"/>
  <c r="Q52" i="2"/>
  <c r="K44" i="2"/>
  <c r="G48" i="2"/>
  <c r="E53" i="2"/>
  <c r="D49" i="2"/>
  <c r="M45" i="2"/>
  <c r="R43" i="2"/>
  <c r="C45" i="2"/>
  <c r="R53" i="2"/>
  <c r="F45" i="2"/>
  <c r="B46" i="2"/>
  <c r="X46" i="2" s="1"/>
  <c r="F43" i="2"/>
  <c r="X41" i="2" l="1"/>
  <c r="Q37" i="2"/>
  <c r="D37" i="2"/>
  <c r="K34" i="2"/>
  <c r="K37" i="2"/>
  <c r="C34" i="2"/>
  <c r="M35" i="2"/>
  <c r="D38" i="2"/>
  <c r="L37" i="2"/>
  <c r="F34" i="2"/>
  <c r="R36" i="2"/>
  <c r="M37" i="2"/>
  <c r="R39" i="2"/>
  <c r="D35" i="2"/>
  <c r="L36" i="2"/>
  <c r="G40" i="2"/>
  <c r="J40" i="2"/>
  <c r="K36" i="2"/>
  <c r="N35" i="2"/>
  <c r="C39" i="2"/>
  <c r="G38" i="2"/>
  <c r="N34" i="2"/>
  <c r="E34" i="2"/>
  <c r="R38" i="2"/>
  <c r="L34" i="2"/>
  <c r="B38" i="2"/>
  <c r="X38" i="2" s="1"/>
  <c r="R34" i="2"/>
  <c r="E38" i="2"/>
  <c r="G35" i="2"/>
  <c r="N39" i="2"/>
  <c r="L40" i="2"/>
  <c r="R35" i="2"/>
  <c r="R37" i="2"/>
  <c r="G39" i="2"/>
  <c r="J36" i="2"/>
  <c r="L35" i="2"/>
  <c r="M36" i="2"/>
  <c r="N38" i="2"/>
  <c r="Q36" i="2"/>
  <c r="B34" i="2"/>
  <c r="X34" i="2" s="1"/>
  <c r="C36" i="2"/>
  <c r="C40" i="2"/>
  <c r="J39" i="2"/>
  <c r="F38" i="2"/>
  <c r="G34" i="2"/>
  <c r="L38" i="2"/>
  <c r="K40" i="2"/>
  <c r="D36" i="2"/>
  <c r="N37" i="2"/>
  <c r="B35" i="2"/>
  <c r="X35" i="2" s="1"/>
  <c r="K39" i="2"/>
  <c r="F40" i="2"/>
  <c r="B37" i="2"/>
  <c r="X37" i="2" s="1"/>
  <c r="M38" i="2"/>
  <c r="J37" i="2"/>
  <c r="E40" i="2"/>
  <c r="F36" i="2"/>
  <c r="J35" i="2"/>
  <c r="M34" i="2"/>
  <c r="C37" i="2"/>
  <c r="F37" i="2"/>
  <c r="G37" i="2"/>
  <c r="K35" i="2"/>
  <c r="J34" i="2"/>
  <c r="G36" i="2"/>
  <c r="E36" i="2"/>
  <c r="D39" i="2"/>
  <c r="B39" i="2"/>
  <c r="X39" i="2" s="1"/>
  <c r="D34" i="2"/>
  <c r="N40" i="2"/>
  <c r="Q40" i="2"/>
  <c r="C35" i="2"/>
  <c r="B40" i="2"/>
  <c r="X40" i="2" s="1"/>
  <c r="Q35" i="2"/>
  <c r="M40" i="2"/>
  <c r="R40" i="2"/>
  <c r="B36" i="2"/>
  <c r="X36" i="2" s="1"/>
  <c r="L39" i="2"/>
  <c r="E39" i="2"/>
  <c r="D40" i="2"/>
  <c r="Q39" i="2"/>
  <c r="N36" i="2"/>
  <c r="K38" i="2"/>
  <c r="E35" i="2"/>
  <c r="C38" i="2"/>
  <c r="Q38" i="2"/>
  <c r="F35" i="2"/>
  <c r="E37" i="2"/>
  <c r="F39" i="2"/>
  <c r="J38" i="2"/>
  <c r="M39" i="2"/>
  <c r="Q34" i="2"/>
  <c r="X33" i="2" l="1"/>
  <c r="G18" i="2"/>
  <c r="C29" i="2"/>
  <c r="B23" i="2"/>
  <c r="X23" i="2" s="1"/>
  <c r="F26" i="2"/>
  <c r="G26" i="2"/>
  <c r="G19" i="2"/>
  <c r="J18" i="2"/>
  <c r="B26" i="2"/>
  <c r="X26" i="2" s="1"/>
  <c r="N30" i="2"/>
  <c r="Q26" i="2"/>
  <c r="J28" i="2"/>
  <c r="E25" i="2"/>
  <c r="K20" i="2"/>
  <c r="E26" i="2"/>
  <c r="M22" i="2"/>
  <c r="L30" i="2"/>
  <c r="D20" i="2"/>
  <c r="M26" i="2"/>
  <c r="C22" i="2"/>
  <c r="C26" i="2"/>
  <c r="Q17" i="2"/>
  <c r="Q15" i="2"/>
  <c r="R24" i="2"/>
  <c r="C27" i="2"/>
  <c r="N17" i="2"/>
  <c r="J27" i="2"/>
  <c r="R28" i="2"/>
  <c r="F15" i="2"/>
  <c r="B24" i="2"/>
  <c r="X24" i="2" s="1"/>
  <c r="G15" i="2"/>
  <c r="C20" i="2"/>
  <c r="K19" i="2"/>
  <c r="Q19" i="2"/>
  <c r="M19" i="2"/>
  <c r="C15" i="2"/>
  <c r="F29" i="2"/>
  <c r="E15" i="2"/>
  <c r="D22" i="2"/>
  <c r="D15" i="2"/>
  <c r="K16" i="2"/>
  <c r="C31" i="2"/>
  <c r="N24" i="2"/>
  <c r="D19" i="2"/>
  <c r="M28" i="2"/>
  <c r="L28" i="2"/>
  <c r="N15" i="2"/>
  <c r="M21" i="2"/>
  <c r="M18" i="2"/>
  <c r="N27" i="2"/>
  <c r="Q21" i="2"/>
  <c r="F21" i="2"/>
  <c r="J25" i="2"/>
  <c r="Q31" i="2"/>
  <c r="L20" i="2"/>
  <c r="L21" i="2"/>
  <c r="B31" i="2"/>
  <c r="X31" i="2" s="1"/>
  <c r="Q24" i="2"/>
  <c r="C30" i="2"/>
  <c r="B29" i="2"/>
  <c r="X29" i="2" s="1"/>
  <c r="F24" i="2"/>
  <c r="F28" i="2"/>
  <c r="F16" i="2"/>
  <c r="R19" i="2"/>
  <c r="Q29" i="2"/>
  <c r="E29" i="2"/>
  <c r="G24" i="2"/>
  <c r="D29" i="2"/>
  <c r="K26" i="2"/>
  <c r="E31" i="2"/>
  <c r="K28" i="2"/>
  <c r="L29" i="2"/>
  <c r="K32" i="2"/>
  <c r="J23" i="2"/>
  <c r="G30" i="2"/>
  <c r="G22" i="2"/>
  <c r="M25" i="2"/>
  <c r="K27" i="2"/>
  <c r="M17" i="2"/>
  <c r="R17" i="2"/>
  <c r="C24" i="2"/>
  <c r="E18" i="2"/>
  <c r="M30" i="2"/>
  <c r="B20" i="2"/>
  <c r="X20" i="2" s="1"/>
  <c r="M15" i="2"/>
  <c r="L31" i="2"/>
  <c r="B19" i="2"/>
  <c r="X19" i="2" s="1"/>
  <c r="L15" i="2"/>
  <c r="E19" i="2"/>
  <c r="Q30" i="2"/>
  <c r="J26" i="2"/>
  <c r="D32" i="2"/>
  <c r="R31" i="2"/>
  <c r="Q16" i="2"/>
  <c r="E27" i="2"/>
  <c r="F32" i="2"/>
  <c r="K25" i="2"/>
  <c r="C28" i="2"/>
  <c r="E17" i="2"/>
  <c r="K30" i="2"/>
  <c r="R29" i="2"/>
  <c r="B32" i="2"/>
  <c r="X32" i="2" s="1"/>
  <c r="G25" i="2"/>
  <c r="K21" i="2"/>
  <c r="N19" i="2"/>
  <c r="F27" i="2"/>
  <c r="D25" i="2"/>
  <c r="F17" i="2"/>
  <c r="G27" i="2"/>
  <c r="J32" i="2"/>
  <c r="J30" i="2"/>
  <c r="J15" i="2"/>
  <c r="N29" i="2"/>
  <c r="L24" i="2"/>
  <c r="J29" i="2"/>
  <c r="M20" i="2"/>
  <c r="M16" i="2"/>
  <c r="B21" i="2"/>
  <c r="X21" i="2" s="1"/>
  <c r="N26" i="2"/>
  <c r="R30" i="2"/>
  <c r="C19" i="2"/>
  <c r="E24" i="2"/>
  <c r="G28" i="2"/>
  <c r="G21" i="2"/>
  <c r="E16" i="2"/>
  <c r="L23" i="2"/>
  <c r="M23" i="2"/>
  <c r="L26" i="2"/>
  <c r="J31" i="2"/>
  <c r="D26" i="2"/>
  <c r="R23" i="2"/>
  <c r="K17" i="2"/>
  <c r="L32" i="2"/>
  <c r="F22" i="2"/>
  <c r="B27" i="2"/>
  <c r="X27" i="2" s="1"/>
  <c r="C18" i="2"/>
  <c r="L22" i="2"/>
  <c r="E21" i="2"/>
  <c r="G16" i="2"/>
  <c r="D23" i="2"/>
  <c r="E20" i="2"/>
  <c r="C21" i="2"/>
  <c r="N23" i="2"/>
  <c r="N20" i="2"/>
  <c r="D30" i="2"/>
  <c r="K31" i="2"/>
  <c r="F20" i="2"/>
  <c r="K22" i="2"/>
  <c r="G20" i="2"/>
  <c r="F18" i="2"/>
  <c r="C17" i="2"/>
  <c r="D17" i="2"/>
  <c r="M27" i="2"/>
  <c r="K29" i="2"/>
  <c r="R20" i="2"/>
  <c r="C32" i="2"/>
  <c r="B15" i="2"/>
  <c r="X15" i="2" s="1"/>
  <c r="C23" i="2"/>
  <c r="G29" i="2"/>
  <c r="K18" i="2"/>
  <c r="F30" i="2"/>
  <c r="B25" i="2"/>
  <c r="X25" i="2" s="1"/>
  <c r="J24" i="2"/>
  <c r="Q28" i="2"/>
  <c r="L25" i="2"/>
  <c r="K23" i="2"/>
  <c r="D21" i="2"/>
  <c r="B17" i="2"/>
  <c r="X17" i="2" s="1"/>
  <c r="R26" i="2"/>
  <c r="B18" i="2"/>
  <c r="X18" i="2" s="1"/>
  <c r="M29" i="2"/>
  <c r="F19" i="2"/>
  <c r="D24" i="2"/>
  <c r="J22" i="2"/>
  <c r="B22" i="2"/>
  <c r="X22" i="2" s="1"/>
  <c r="J19" i="2"/>
  <c r="N18" i="2"/>
  <c r="K24" i="2"/>
  <c r="N16" i="2"/>
  <c r="L16" i="2"/>
  <c r="D31" i="2"/>
  <c r="E23" i="2"/>
  <c r="J16" i="2"/>
  <c r="N28" i="2"/>
  <c r="R21" i="2"/>
  <c r="N21" i="2"/>
  <c r="J17" i="2"/>
  <c r="Q32" i="2"/>
  <c r="F31" i="2"/>
  <c r="Q20" i="2"/>
  <c r="C16" i="2"/>
  <c r="R22" i="2"/>
  <c r="N31" i="2"/>
  <c r="D28" i="2"/>
  <c r="B16" i="2"/>
  <c r="X16" i="2" s="1"/>
  <c r="J21" i="2"/>
  <c r="Q23" i="2"/>
  <c r="R27" i="2"/>
  <c r="L27" i="2"/>
  <c r="N25" i="2"/>
  <c r="M24" i="2"/>
  <c r="E22" i="2"/>
  <c r="E32" i="2"/>
  <c r="B30" i="2"/>
  <c r="X30" i="2" s="1"/>
  <c r="E28" i="2"/>
  <c r="R18" i="2"/>
  <c r="R15" i="2"/>
  <c r="D16" i="2"/>
  <c r="R32" i="2"/>
  <c r="L18" i="2"/>
  <c r="F25" i="2"/>
  <c r="B28" i="2"/>
  <c r="X28" i="2" s="1"/>
  <c r="J20" i="2"/>
  <c r="L19" i="2"/>
  <c r="R16" i="2"/>
  <c r="Q25" i="2"/>
  <c r="Q22" i="2"/>
  <c r="D27" i="2"/>
  <c r="G17" i="2"/>
  <c r="F23" i="2"/>
  <c r="L17" i="2"/>
  <c r="K15" i="2"/>
  <c r="Q18" i="2"/>
  <c r="N22" i="2"/>
  <c r="D18" i="2"/>
  <c r="M31" i="2"/>
  <c r="Q27" i="2"/>
  <c r="M32" i="2"/>
  <c r="G32" i="2"/>
  <c r="C25" i="2"/>
  <c r="E30" i="2"/>
  <c r="R25" i="2"/>
  <c r="G31" i="2"/>
  <c r="G23" i="2"/>
  <c r="N32" i="2"/>
  <c r="X14" i="2" l="1"/>
  <c r="AA1" i="2"/>
  <c r="AB1" i="2"/>
  <c r="J6" i="2"/>
  <c r="D5" i="2"/>
  <c r="B5" i="2"/>
  <c r="X5" i="2" s="1"/>
  <c r="Q13" i="2"/>
  <c r="N7" i="2"/>
  <c r="N2" i="2"/>
  <c r="B11" i="2"/>
  <c r="X11" i="2" s="1"/>
  <c r="C7" i="2"/>
  <c r="K2" i="2"/>
  <c r="E6" i="2"/>
  <c r="J7" i="2"/>
  <c r="D10" i="2"/>
  <c r="B6" i="2"/>
  <c r="X6" i="2" s="1"/>
  <c r="L6" i="2"/>
  <c r="Q5" i="2"/>
  <c r="M13" i="2"/>
  <c r="K8" i="2"/>
  <c r="D12" i="2"/>
  <c r="B7" i="2"/>
  <c r="X7" i="2" s="1"/>
  <c r="R2" i="2"/>
  <c r="AB4" i="2"/>
  <c r="D8" i="2"/>
  <c r="L2" i="2"/>
  <c r="M9" i="2"/>
  <c r="J4" i="2"/>
  <c r="E2" i="2"/>
  <c r="C10" i="2"/>
  <c r="M7" i="2"/>
  <c r="K13" i="2"/>
  <c r="R8" i="2"/>
  <c r="N8" i="2"/>
  <c r="C2" i="2"/>
  <c r="Q11" i="2"/>
  <c r="F4" i="2"/>
  <c r="G10" i="2"/>
  <c r="M12" i="2"/>
  <c r="E4" i="2"/>
  <c r="N11" i="2"/>
  <c r="R9" i="2"/>
  <c r="B13" i="2"/>
  <c r="X13" i="2" s="1"/>
  <c r="M8" i="2"/>
  <c r="E13" i="2"/>
  <c r="D13" i="2"/>
  <c r="N6" i="2"/>
  <c r="M2" i="2"/>
  <c r="G9" i="2"/>
  <c r="E9" i="2"/>
  <c r="B4" i="2"/>
  <c r="X4" i="2" s="1"/>
  <c r="B9" i="2"/>
  <c r="X9" i="2" s="1"/>
  <c r="B2" i="2"/>
  <c r="X2" i="2" s="1"/>
  <c r="F12" i="2"/>
  <c r="F6" i="2"/>
  <c r="G6" i="2"/>
  <c r="N10" i="2"/>
  <c r="D4" i="2"/>
  <c r="R13" i="2"/>
  <c r="E5" i="2"/>
  <c r="K5" i="2"/>
  <c r="R6" i="2"/>
  <c r="K9" i="2"/>
  <c r="Q12" i="2"/>
  <c r="J5" i="2"/>
  <c r="Q9" i="2"/>
  <c r="G2" i="2"/>
  <c r="J2" i="2"/>
  <c r="C13" i="2"/>
  <c r="F8" i="2"/>
  <c r="R12" i="2"/>
  <c r="G4" i="2"/>
  <c r="L4" i="2"/>
  <c r="F13" i="2"/>
  <c r="M6" i="2"/>
  <c r="N12" i="2"/>
  <c r="E8" i="2"/>
  <c r="F5" i="2"/>
  <c r="M4" i="2"/>
  <c r="J12" i="2"/>
  <c r="Q8" i="2"/>
  <c r="E10" i="2"/>
  <c r="G7" i="2"/>
  <c r="G8" i="2"/>
  <c r="K7" i="2"/>
  <c r="C9" i="2"/>
  <c r="F2" i="2"/>
  <c r="L5" i="2"/>
  <c r="B12" i="2"/>
  <c r="X12" i="2" s="1"/>
  <c r="B8" i="2"/>
  <c r="X8" i="2" s="1"/>
  <c r="C11" i="2"/>
  <c r="D6" i="2"/>
  <c r="D9" i="2"/>
  <c r="G12" i="2"/>
  <c r="F11" i="2"/>
  <c r="K10" i="2"/>
  <c r="Q10" i="2"/>
  <c r="N4" i="2"/>
  <c r="J8" i="2"/>
  <c r="R5" i="2"/>
  <c r="G13" i="2"/>
  <c r="C6" i="2"/>
  <c r="G11" i="2"/>
  <c r="L10" i="2"/>
  <c r="M11" i="2"/>
  <c r="C8" i="2"/>
  <c r="G5" i="2"/>
  <c r="J10" i="2"/>
  <c r="K12" i="2"/>
  <c r="D7" i="2"/>
  <c r="Q6" i="2"/>
  <c r="F7" i="2"/>
  <c r="L7" i="2"/>
  <c r="J9" i="2"/>
  <c r="R11" i="2"/>
  <c r="R7" i="2"/>
  <c r="K11" i="2"/>
  <c r="E7" i="2"/>
  <c r="K6" i="2"/>
  <c r="Q2" i="2"/>
  <c r="F9" i="2"/>
  <c r="M5" i="2"/>
  <c r="B10" i="2"/>
  <c r="X10" i="2" s="1"/>
  <c r="D11" i="2"/>
  <c r="L12" i="2"/>
  <c r="N5" i="2"/>
  <c r="N13" i="2"/>
  <c r="R10" i="2"/>
  <c r="F10" i="2"/>
  <c r="J11" i="2"/>
  <c r="D2" i="2"/>
  <c r="L13" i="2"/>
  <c r="E12" i="2"/>
  <c r="R4" i="2"/>
  <c r="L8" i="2"/>
  <c r="K4" i="2"/>
  <c r="L9" i="2"/>
  <c r="J13" i="2"/>
  <c r="N9" i="2"/>
  <c r="M10" i="2"/>
  <c r="Q7" i="2"/>
  <c r="C12" i="2"/>
  <c r="E11" i="2"/>
  <c r="C4" i="2"/>
  <c r="C5" i="2"/>
  <c r="L11" i="2"/>
  <c r="Q4" i="2"/>
  <c r="A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<sst xmlns="http://schemas.openxmlformats.org/spreadsheetml/2006/main" count="777" uniqueCount="438">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</sst>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23.1</v>
        <stp/>
        <stp>BDP|2553338538863884928|22</stp>
        <stp>ARCCO AB Equity</stp>
        <stp>LAST_PRICE</stp>
        <tr r="C231" s="2"/>
        <tr r="B231" s="2"/>
      </tp>
      <tp>
        <v>-1.7010000000000001</v>
        <stp/>
        <stp>BDP|8411856124265763765|22</stp>
        <stp>SADAFCO AB Equity</stp>
        <stp>CHG_PCT_1M_RT</stp>
        <tr r="E134" s="2"/>
      </tp>
      <tp>
        <v>13.39</v>
        <stp/>
        <stp>BDP|6519665896749224206|22</stp>
        <stp>WATAN AB Equity</stp>
        <stp>LAST_PRICE</stp>
        <tr r="C165" s="2"/>
        <tr r="B165" s="2"/>
      </tp>
      <tp>
        <v>29.08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29.42</v>
        <stp/>
        <stp>BDP|16418051362820000474|22</stp>
        <stp>YANSAB AB Equity</stp>
        <stp>LAST_PRICE</stp>
        <tr r="B205" s="2"/>
        <tr r="C205" s="2"/>
      </tp>
      <tp>
        <v>-0.1817999929189682</v>
        <stp/>
        <stp>BDP|15058569440270370681|22</stp>
        <stp>DALLAH AB Equity</stp>
        <stp>RT_PX_CHG_PCT_1D</stp>
        <tr r="D160" s="2"/>
      </tp>
      <tp>
        <v>2.73</v>
        <stp/>
        <stp>BDP|15282405386124913272|22</stp>
        <stp>SADR AB Equity</stp>
        <stp>BID</stp>
        <tr r="Q39" s="2"/>
      </tp>
      <tp>
        <v>11.19</v>
        <stp/>
        <stp>BDP|228690033169535946|22</stp>
        <stp>LAZURDE AB Equity</stp>
        <stp>HIGH</stp>
        <tr r="M57" s="2"/>
      </tp>
      <tp>
        <v>52.759599999999999</v>
        <stp/>
        <stp>BDP|16900183503707994753|22</stp>
        <stp>GIG AB Equity</stp>
        <stp>CHG_PCT_YTD_RT</stp>
        <tr r="F185" s="2"/>
      </tp>
      <tp>
        <v>-1.2295000553131104</v>
        <stp/>
        <stp>BDP|2377230289039135031|22</stp>
        <stp>ALINMARE AB Equity</stp>
        <stp>RT_PX_CHG_PCT_1D</stp>
        <tr r="D96" s="2"/>
      </tp>
      <tp>
        <v>1.951200008392334</v>
        <stp/>
        <stp>BDP|5495420343527123067|22</stp>
        <stp>AMERICAN AB Equity</stp>
        <stp>RT_PX_CHG_PCT_1D</stp>
        <tr r="D68" s="2"/>
      </tp>
      <tp>
        <v>0.46029999852180481</v>
        <stp/>
        <stp>BDP|9665606243564626785|22</stp>
        <stp>ARABIANM AB Equity</stp>
        <stp>RT_PX_CHG_PCT_1D</stp>
        <tr r="D138" s="2"/>
      </tp>
      <tp>
        <v>1.7558000087738037</v>
        <stp/>
        <stp>BDP|4338493229216958156|22</stp>
        <stp>MOUWASAT AB Equity</stp>
        <stp>RT_PX_CHG_PCT_1D</stp>
        <tr r="D156" s="2"/>
      </tp>
      <tp>
        <v>-7.5410000000000004</v>
        <stp/>
        <stp>BDP|16337293327703773706|22</stp>
        <stp>CITYC AB Equity</stp>
        <stp>CHG_PCT_1M_RT</stp>
        <tr r="E223" s="2"/>
      </tp>
      <tp>
        <v>7.01</v>
        <stp/>
        <stp>BDP|1485167505417104080|22</stp>
        <stp>TAACO AB Equity</stp>
        <stp>BID</stp>
        <tr r="Q141" s="2"/>
      </tp>
      <tp>
        <v>20.86</v>
        <stp/>
        <stp>BDP|1640694203541224475|22</stp>
        <stp>SEERA AB Equity</stp>
        <stp>LOW</stp>
        <tr r="L74" s="2"/>
      </tp>
      <tp>
        <v>622480</v>
        <stp/>
        <stp>BDP|7308466437053986901|22</stp>
        <stp>SAGR AB Equity</stp>
        <stp>VOLUME</stp>
        <tr r="J184" s="2"/>
      </tp>
      <tp>
        <v>14.37</v>
        <stp/>
        <stp>BDP|2130137367119653134|22</stp>
        <stp>HERFY AB Equity</stp>
        <stp>LOW</stp>
        <tr r="L69" s="2"/>
      </tp>
      <tp>
        <v>715101</v>
        <stp/>
        <stp>BDP|9669788939827485336|22</stp>
        <stp>SAUDIRE AB Equity</stp>
        <stp>VOLUME</stp>
        <tr r="J167" s="2"/>
      </tp>
      <tp>
        <v>5.5</v>
        <stp/>
        <stp>BDP|5123027599469071565|22</stp>
        <stp>CMCER AB Equity</stp>
        <stp>LOW</stp>
        <tr r="L161" s="2"/>
      </tp>
      <tp>
        <v>16.147300000000001</v>
        <stp/>
        <stp>BDP|7022181614105370355|22</stp>
        <stp>ALABDUL AB Equity</stp>
        <stp>CHG_PCT_YTD_RT</stp>
        <tr r="F58" s="2"/>
      </tp>
      <tp>
        <v>45.8</v>
        <stp/>
        <stp>BDP|17234420144918468139|22</stp>
        <stp>TAMKEEN AB Equity</stp>
        <stp>YEST_LAST_TRADE</stp>
        <tr r="G36" s="2"/>
      </tp>
      <tp>
        <v>8.1702999999999992</v>
        <stp/>
        <stp>BDP|5806287951091504860|22</stp>
        <stp>ALOMRAN AB Equity</stp>
        <stp>CHG_PCT_1M_RT</stp>
        <tr r="E25" s="2"/>
      </tp>
      <tp>
        <v>18.989999999999998</v>
        <stp/>
        <stp>BDP|11622598869368849882|22</stp>
        <stp>SVCP AB Equity</stp>
        <stp>ASK</stp>
        <tr r="R202" s="2"/>
      </tp>
      <tp>
        <v>61.6</v>
        <stp/>
        <stp>BDP|12275057337558245840|22</stp>
        <stp>ALMUNAJE AB Equity</stp>
        <stp>YEST_LAST_TRADE</stp>
        <tr r="G87" s="2"/>
      </tp>
      <tp>
        <v>17.5</v>
        <stp/>
        <stp>BDP|7467462685538665865|22</stp>
        <stp>teco AB Equity</stp>
        <stp>BID</stp>
        <tr r="Q72" s="2"/>
      </tp>
      <tp>
        <v>45.48</v>
        <stp/>
        <stp>BDP|17298157034720700128|22</stp>
        <stp>ALMARAI AB Equity</stp>
        <stp>LAST_PRICE</stp>
        <tr r="B144" s="2"/>
        <tr r="C144" s="2"/>
      </tp>
      <tp>
        <v>0.120899997651577</v>
        <stp/>
        <stp>BDP|1296787593200241910|22</stp>
        <stp>ALINMAHO AB Equity</stp>
        <stp>RT_PX_CHG_PCT_1D</stp>
        <tr r="D97" s="2"/>
      </tp>
      <tp>
        <v>3.67</v>
        <stp/>
        <stp>BDP|14698115686408849554|22</stp>
        <stp>ALASEEL AB Equity</stp>
        <stp>LAST_PRICE</stp>
        <tr r="B59" s="2"/>
        <tr r="C59" s="2"/>
      </tp>
      <tp>
        <v>0.63380000000000003</v>
        <stp/>
        <stp>BDP|10551065232685419994|22</stp>
        <stp>SAVOLA AB Equity</stp>
        <stp>CHG_PCT_1M_RT</stp>
        <tr r="E143" s="2"/>
      </tp>
      <tp>
        <v>2.9491000175476074</v>
        <stp/>
        <stp>BDP|2875914365173448817|22</stp>
        <stp>BURGERIZ AB Equity</stp>
        <stp>RT_PX_CHG_PCT_1D</stp>
        <tr r="D63" s="2"/>
      </tp>
      <tp>
        <v>17.5167</v>
        <stp/>
        <stp>BDP|13623273595260192203|22</stp>
        <stp>teco AB Equity</stp>
        <stp>VWAP</stp>
        <tr r="N72" s="2"/>
      </tp>
      <tp>
        <v>18.440000000000001</v>
        <stp/>
        <stp>BDP|8888237363531372182|22</stp>
        <stp>TAIBA AB Equity</stp>
        <stp>BID</stp>
        <tr r="Q264" s="2"/>
      </tp>
      <tp>
        <v>32.619999999999997</v>
        <stp/>
        <stp>BDP|5221878206994950377|22</stp>
        <stp>TALCO AB Equity</stp>
        <stp>LOW</stp>
        <tr r="L208" s="2"/>
      </tp>
      <tp>
        <v>69</v>
        <stp/>
        <stp>BDP|2348265794193638492|22</stp>
        <stp>RAOOM AB Equity</stp>
        <stp>LOW</stp>
        <tr r="L19" s="2"/>
      </tp>
      <tp>
        <v>847517</v>
        <stp/>
        <stp>BDP|3023186465921206214|22</stp>
        <stp>SECO AB Equity</stp>
        <stp>VOLUME</stp>
        <tr r="J291" s="2"/>
      </tp>
      <tp>
        <v>20.07</v>
        <stp/>
        <stp>BDP|473094192244765064|22</stp>
        <stp>RIBL AB Equity</stp>
        <stp>YEST_LAST_TRADE</stp>
        <tr r="G9" s="2"/>
      </tp>
      <tp>
        <v>25.26</v>
        <stp/>
        <stp>BDP|1546517493380300865|22</stp>
        <stp>YACCO AB Equity</stp>
        <stp>ASK</stp>
        <tr r="R222" s="2"/>
      </tp>
      <tp>
        <v>-12.880599999999999</v>
        <stp/>
        <stp>BDP|8574397886640196406|22</stp>
        <stp>AADC AB Equity</stp>
        <stp>CHG_PCT_YTD_RT</stp>
        <tr r="F128" s="2"/>
      </tp>
      <tp>
        <v>167.7</v>
        <stp/>
        <stp>BDP|6074789811381114292|22</stp>
        <stp>SCACO AB Equity</stp>
        <stp>ASK</stp>
        <tr r="R28" s="2"/>
      </tp>
      <tp>
        <v>29.277200000000001</v>
        <stp/>
        <stp>BDP|8834426998965643946|22</stp>
        <stp>LUBEREF AB Equity</stp>
        <stp>CHG_PCT_YTD_RT</stp>
        <tr r="F235" s="2"/>
      </tp>
      <tp>
        <v>99.8</v>
        <stp/>
        <stp>BDP|9757355911981319295|22</stp>
        <stp>DWF AB Equity</stp>
        <stp>LAST_PRICE</stp>
        <tr r="C70" s="2"/>
        <tr r="B70" s="2"/>
      </tp>
      <tp>
        <v>-20.468499999999999</v>
        <stp/>
        <stp>BDP|8996631966863573051|22</stp>
        <stp>SACO AB Equity</stp>
        <stp>CHG_PCT_YTD_RT</stp>
        <tr r="F45" s="2"/>
      </tp>
      <tp>
        <v>44.9</v>
        <stp/>
        <stp>BDP|2795577744987398621|22</stp>
        <stp>QACCO AB Equity</stp>
        <stp>ASK</stp>
        <tr r="R225" s="2"/>
      </tp>
      <tp>
        <v>0</v>
        <stp/>
        <stp>BDP|902346942987718164|22</stp>
        <stp>JADWA AB Equity</stp>
        <stp>RT_PX_CHG_PCT_1D</stp>
        <tr r="D101" s="2"/>
      </tp>
      <tp>
        <v>-0.27169999480247498</v>
        <stp/>
        <stp>BDP|11977783495319259390|22</stp>
        <stp>ALASEEL AB Equity</stp>
        <stp>RT_PX_CHG_PCT_1D</stp>
        <tr r="D59" s="2"/>
      </tp>
      <tp>
        <v>10.46</v>
        <stp/>
        <stp>BDP|5722046520710001626|22</stp>
        <stp>WALAA AB Equity</stp>
        <stp>LAST_PRICE</stp>
        <tr r="C169" s="2"/>
        <tr r="B169" s="2"/>
      </tp>
      <tp>
        <v>55.4</v>
        <stp/>
        <stp>BDP|11179893792206787163|22</stp>
        <stp>FIRSTMIL AB Equity</stp>
        <stp>YEST_LAST_TRADE</stp>
        <tr r="G135" s="2"/>
      </tp>
      <tp>
        <v>11.81</v>
        <stp/>
        <stp>BDP|15707025110784585114|22</stp>
        <stp>SAGR AB Equity</stp>
        <stp>ASK</stp>
        <tr r="R184" s="2"/>
      </tp>
      <tp>
        <v>11.79</v>
        <stp/>
        <stp>BDP|13831200912951953232|22</stp>
        <stp>SAGR AB Equity</stp>
        <stp>BID</stp>
        <tr r="Q184" s="2"/>
      </tp>
      <tp>
        <v>11.5</v>
        <stp/>
        <stp>BDP|4463619438631631401|22</stp>
        <stp>SAGR AB Equity</stp>
        <stp>OPEN</stp>
        <tr r="K184" s="2"/>
      </tp>
      <tp>
        <v>35.44</v>
        <stp/>
        <stp>BDP|5107302035565982073|22</stp>
        <stp>UIHC AB Equity</stp>
        <stp>OPEN</stp>
        <tr r="K119" s="2"/>
      </tp>
      <tp>
        <v>11.8429</v>
        <stp/>
        <stp>BDP|7753204553271083808|22</stp>
        <stp>SAGR AB Equity</stp>
        <stp>VWAP</stp>
        <tr r="N184" s="2"/>
      </tp>
      <tp>
        <v>1707148</v>
        <stp/>
        <stp>BDP|17360348514910106883|22</stp>
        <stp>UCA AB Equity</stp>
        <stp>VOLUME</stp>
        <tr r="J181" s="2"/>
      </tp>
      <tp>
        <v>0</v>
        <stp/>
        <stp>BDP|5629135328025055488|22</stp>
        <stp>ALKHABEE AB Equity</stp>
        <stp>RT_PX_CHG_PCT_1D</stp>
        <tr r="D110" s="2"/>
      </tp>
      <tp>
        <v>91.85</v>
        <stp/>
        <stp>BDP|26660409206279207|22</stp>
        <stp>ARABIAND AB Equity</stp>
        <stp>YEST_LAST_TRADE</stp>
        <tr r="G91" s="2"/>
      </tp>
      <tp>
        <v>198064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3117502</v>
        <stp/>
        <stp>BDP|2848197764237657693|22</stp>
        <stp>SADR AB Equity</stp>
        <stp>VOLUME</stp>
        <tr r="J39" s="2"/>
      </tp>
      <tp>
        <v>2.71</v>
        <stp/>
        <stp>BDP|7593046146001582453|22</stp>
        <stp>OASIS AB Equity</stp>
        <stp>BID</stp>
        <tr r="Q207" s="2"/>
      </tp>
      <tp>
        <v>2.63</v>
        <stp/>
        <stp>BDP|2737801268186183389|22</stp>
        <stp>OASIS AB Equity</stp>
        <stp>LOW</stp>
        <tr r="L207" s="2"/>
      </tp>
      <tp>
        <v>158975</v>
        <stp/>
        <stp>BDP|9392600922226642367|22</stp>
        <stp>RYDREIT AB Equity</stp>
        <stp>VOLUME</stp>
        <tr r="J111" s="2"/>
      </tp>
      <tp>
        <v>122.8</v>
        <stp/>
        <stp>BDP|2098214241799723767|22</stp>
        <stp>SAFCO AB Equity</stp>
        <stp>BID</stp>
        <tr r="Q238" s="2"/>
      </tp>
      <tp>
        <v>23.29</v>
        <stp/>
        <stp>BDP|9621819871971004776|22</stp>
        <stp>THEEB AB Equity</stp>
        <stp>BID</stp>
        <tr r="Q286" s="2"/>
      </tp>
      <tp>
        <v>17160</v>
        <stp/>
        <stp>BDP|4741183305066022970|22</stp>
        <stp>UACC AB Equity</stp>
        <stp>VOLUME</stp>
        <tr r="J206" s="2"/>
      </tp>
      <tp>
        <v>1201748</v>
        <stp/>
        <stp>BDP|4319544254970083581|22</stp>
        <stp>ALABDUL AB Equity</stp>
        <stp>VOLUME</stp>
        <tr r="J58" s="2"/>
      </tp>
      <tp>
        <v>50.3</v>
        <stp/>
        <stp>BDP|16411567285951034545|22</stp>
        <stp>SSP AB Equity</stp>
        <stp>BID</stp>
        <tr r="Q193" s="2"/>
      </tp>
      <tp>
        <v>-1.7391000000000001</v>
        <stp/>
        <stp>BDP|7032564657117888046|22</stp>
        <stp>LUBEREF AB Equity</stp>
        <stp>CHG_PCT_1M_RT</stp>
        <tr r="E235" s="2"/>
      </tp>
      <tp>
        <v>15.82</v>
        <stp/>
        <stp>BDP|2635345515588845307|22</stp>
        <stp>NADEC AB Equity</stp>
        <stp>LAST_PRICE</stp>
        <tr r="C140" s="2"/>
        <tr r="B140" s="2"/>
      </tp>
      <tp>
        <v>31.04</v>
        <stp/>
        <stp>BDP|13375204852999749558|22</stp>
        <stp>SGS AB Equity</stp>
        <stp>ASK</stp>
        <tr r="R281" s="2"/>
      </tp>
      <tp>
        <v>30.32</v>
        <stp/>
        <stp>BDP|2509783712458637952|22</stp>
        <stp>SACCO AB Equity</stp>
        <stp>LAST_PRICE</stp>
        <tr r="C229" s="2"/>
        <tr r="B229" s="2"/>
      </tp>
      <tp>
        <v>13.85</v>
        <stp/>
        <stp>BDP|1461671509860640433|22</stp>
        <stp>UACC AB Equity</stp>
        <stp>OPEN</stp>
        <tr r="K206" s="2"/>
      </tp>
      <tp>
        <v>27.44</v>
        <stp/>
        <stp>BDP|8888295492874074114|22</stp>
        <stp>ALCO AB Equity</stp>
        <stp>HIGH</stp>
        <tr r="M237" s="2"/>
      </tp>
      <tp>
        <v>-3.0845999717712402</v>
        <stp/>
        <stp>BDP|2901966228407443221|22</stp>
        <stp>ALHAMMAD AB Equity</stp>
        <stp>RT_PX_CHG_PCT_1D</stp>
        <tr r="D159" s="2"/>
      </tp>
      <tp>
        <v>18.771699999999999</v>
        <stp/>
        <stp>BDP|15761810044198896771|22</stp>
        <stp>MALATH AB Equity</stp>
        <stp>CHG_PCT_1M_RT</stp>
        <tr r="E182" s="2"/>
      </tp>
      <tp>
        <v>219.6</v>
        <stp/>
        <stp>BDP|10072376681473322125|22</stp>
        <stp>SADAFCO AB Equity</stp>
        <stp>LAST_PRICE</stp>
        <tr r="B134" s="2"/>
        <tr r="C134" s="2"/>
      </tp>
      <tp>
        <v>-1.3812</v>
        <stp/>
        <stp>BDP|11304941074584155738|22</stp>
        <stp>EAT AB Equity</stp>
        <stp>CHG_PCT_YTD_RT</stp>
        <tr r="F277" s="2"/>
      </tp>
      <tp>
        <v>15.17</v>
        <stp/>
        <stp>BDP|10133642242509695533|22</stp>
        <stp>SHL AB Equity</stp>
        <stp>HIGH</stp>
        <tr r="M118" s="2"/>
      </tp>
      <tp>
        <v>90.2</v>
        <stp/>
        <stp>BDP|8181611124477678818|22</stp>
        <stp>ALARABIA AB Equity</stp>
        <stp>LAST_PRICE</stp>
        <tr r="B244" s="2"/>
        <tr r="C244" s="2"/>
      </tp>
      <tp>
        <v>12085</v>
        <stp/>
        <stp>BDP|2075953587283971587|22</stp>
        <stp>NCLE AB Equity</stp>
        <stp>VOLUME</stp>
        <tr r="J65" s="2"/>
      </tp>
      <tp>
        <v>15.6</v>
        <stp/>
        <stp>BDP|4637398234856781077|22</stp>
        <stp>SRECO AB Equity</stp>
        <stp>BID</stp>
        <tr r="Q254" s="2"/>
      </tp>
      <tp>
        <v>13.7</v>
        <stp/>
        <stp>BDP|2841451798097241200|22</stp>
        <stp>JAHEZ AB Equity</stp>
        <stp>ASK</stp>
        <tr r="R62" s="2"/>
      </tp>
      <tp>
        <v>224666</v>
        <stp/>
        <stp>BDP|6897133735925756656|22</stp>
        <stp>SACO AB Equity</stp>
        <stp>VOLUME</stp>
        <tr r="J45" s="2"/>
      </tp>
      <tp>
        <v>-1.7324999999999999</v>
        <stp/>
        <stp>BDP|4706852816163269691|22</stp>
        <stp>ALBI AB Equity</stp>
        <stp>CHG_PCT_YTD_RT</stp>
        <tr r="F5" s="2"/>
      </tp>
      <tp>
        <v>56.3</v>
        <stp/>
        <stp>BDP|3221417982153335135|22</stp>
        <stp>SPM AB Equity</stp>
        <stp>LAST_PRICE</stp>
        <tr r="B215" s="2"/>
        <tr r="C215" s="2"/>
      </tp>
      <tp>
        <v>117740</v>
        <stp/>
        <stp>BDP|4425548275074219891|22</stp>
        <stp>ATAA AB Equity</stp>
        <stp>VOLUME</stp>
        <tr r="J75" s="2"/>
      </tp>
      <tp>
        <v>30.9</v>
        <stp/>
        <stp>BDP|15866168018189948165|22</stp>
        <stp>SGS AB Equity</stp>
        <stp>LOW</stp>
        <tr r="L281" s="2"/>
      </tp>
      <tp>
        <v>123.8</v>
        <stp/>
        <stp>BDP|5851373969438479144|22</stp>
        <stp>SAFCO AB Equity</stp>
        <stp>LAST_PRICE</stp>
        <tr r="B238" s="2"/>
        <tr r="C238" s="2"/>
      </tp>
      <tp>
        <v>154.6</v>
        <stp/>
        <stp>BDP|7437278277643099527|22</stp>
        <stp>RASAN AB Equity</stp>
        <stp>LAST_PRICE</stp>
        <tr r="C189" s="2"/>
        <tr r="B189" s="2"/>
      </tp>
      <tp>
        <v>14.94</v>
        <stp/>
        <stp>BDP|9385942425324484995|22</stp>
        <stp>HERFY AB Equity</stp>
        <stp>LAST_PRICE</stp>
        <tr r="C69" s="2"/>
        <tr r="B69" s="2"/>
      </tp>
      <tp>
        <v>15.12</v>
        <stp/>
        <stp>BDP|6018124897627039003|22</stp>
        <stp>JOMAR AB Equity</stp>
        <stp>LAST_PRICE</stp>
        <tr r="B66" s="2"/>
        <tr r="C66" s="2"/>
      </tp>
      <tp>
        <v>21.18</v>
        <stp/>
        <stp>BDP|3561787506481414835|22</stp>
        <stp>ARNB AB Equity</stp>
        <stp>HIGH</stp>
        <tr r="M8" s="2"/>
      </tp>
      <tp>
        <v>17.085100000000001</v>
        <stp/>
        <stp>BDP|4468204614985512973|22</stp>
        <stp>SIDC AB Equity</stp>
        <stp>VWAP</stp>
        <tr r="N56" s="2"/>
      </tp>
      <tp>
        <v>16.12</v>
        <stp/>
        <stp>BDP|9712979098526713440|22</stp>
        <stp>SAIC AB Equity</stp>
        <stp>OPEN</stp>
        <tr r="K117" s="2"/>
      </tp>
      <tp>
        <v>196929</v>
        <stp/>
        <stp>BDP|10206053880210952110|22</stp>
        <stp>EAT AB Equity</stp>
        <stp>VOLUME</stp>
        <tr r="J277" s="2"/>
      </tp>
      <tp>
        <v>12.03</v>
        <stp/>
        <stp>BDP|17130051081230060199|22</stp>
        <stp>ALLIANZ AB Equity</stp>
        <stp>LAST_PRICE</stp>
        <tr r="B175" s="2"/>
        <tr r="C175" s="2"/>
      </tp>
      <tp>
        <v>-14.490399999999999</v>
        <stp/>
        <stp>BDP|13709875997439752623|22</stp>
        <stp>SGS AB Equity</stp>
        <stp>CHG_PCT_YTD_RT</stp>
        <tr r="F281" s="2"/>
      </tp>
      <tp>
        <v>81437</v>
        <stp/>
        <stp>BDP|12204007316533173136|22</stp>
        <stp>MIS AB Equity</stp>
        <stp>VOLUME</stp>
        <tr r="J268" s="2"/>
      </tp>
      <tp>
        <v>166.7</v>
        <stp/>
        <stp>BDP|3683265063539846934|22</stp>
        <stp>SCACO AB Equity</stp>
        <stp>BID</stp>
        <tr r="Q28" s="2"/>
      </tp>
      <tp>
        <v>9.9700000000000006</v>
        <stp/>
        <stp>BDP|8317006899064124886|22</stp>
        <stp>EMAAR AB Equity</stp>
        <stp>BID</stp>
        <tr r="Q262" s="2"/>
      </tp>
      <tp>
        <v>9.9700000000000006</v>
        <stp/>
        <stp>BDP|6942978480916104160|22</stp>
        <stp>EMAAR AB Equity</stp>
        <stp>LOW</stp>
        <tr r="L262" s="2"/>
      </tp>
      <tp>
        <v>7.03</v>
        <stp/>
        <stp>BDP|7254026639528772122|22</stp>
        <stp>TAACO AB Equity</stp>
        <stp>ASK</stp>
        <tr r="R141" s="2"/>
      </tp>
      <tp>
        <v>-7.3999999999999996E-2</v>
        <stp/>
        <stp>BDP|5853285143506350398|22</stp>
        <stp>ALCO AB Equity</stp>
        <stp>CHG_PCT_YTD_RT</stp>
        <tr r="F237" s="2"/>
      </tp>
      <tp>
        <v>-11.130100000000001</v>
        <stp/>
        <stp>BDP|5769197553799322550|22</stp>
        <stp>ATAA AB Equity</stp>
        <stp>CHG_PCT_YTD_RT</stp>
        <tr r="F75" s="2"/>
      </tp>
      <tp>
        <v>508068</v>
        <stp/>
        <stp>BDP|8854740844586604058|22</stp>
        <stp>GGCI AB Equity</stp>
        <stp>VOLUME</stp>
        <tr r="J187" s="2"/>
      </tp>
      <tp>
        <v>-9.8817000000000004</v>
        <stp/>
        <stp>BDP|8543918503126498352|22</stp>
        <stp>NCLE AB Equity</stp>
        <stp>CHG_PCT_YTD_RT</stp>
        <tr r="F65" s="2"/>
      </tp>
      <tp>
        <v>6.64</v>
        <stp/>
        <stp>BDP|16233323080646291486|22</stp>
        <stp>CGS AB Equity</stp>
        <stp>HIGH</stp>
        <tr r="M31" s="2"/>
      </tp>
      <tp>
        <v>7.1146000000000003</v>
        <stp/>
        <stp>BDP|10087403959709853083|22</stp>
        <stp>OASIS AB Equity</stp>
        <stp>CHG_PCT_1M_RT</stp>
        <tr r="E207" s="2"/>
      </tp>
      <tp>
        <v>0.50890000000000002</v>
        <stp/>
        <stp>BDP|9996709060138506851|22</stp>
        <stp>GGCI AB Equity</stp>
        <stp>CHG_PCT_YTD_RT</stp>
        <tr r="F187" s="2"/>
      </tp>
      <tp>
        <v>14.61</v>
        <stp/>
        <stp>BDP|13437686199144345026|22</stp>
        <stp>MIAHONA AB Equity</stp>
        <stp>YEST_LAST_TRADE</stp>
        <tr r="G292" s="2"/>
      </tp>
      <tp>
        <v>17.010000000000002</v>
        <stp/>
        <stp>BDP|6804690518284428022|22</stp>
        <stp>ASLAK AB Equity</stp>
        <stp>LAST_PRICE</stp>
        <tr r="C219" s="2"/>
        <tr r="B219" s="2"/>
      </tp>
      <tp>
        <v>10.6</v>
        <stp/>
        <stp>BDP|3387343624069730148|22</stp>
        <stp>SAICO AB Equity</stp>
        <stp>LAST_PRICE</stp>
        <tr r="C186" s="2"/>
        <tr r="B186" s="2"/>
      </tp>
      <tp>
        <v>1.9960000514984131</v>
        <stp/>
        <stp>BDP|10379687969553968562|22</stp>
        <stp>TAKWEEN AB Equity</stp>
        <stp>RT_PX_CHG_PCT_1D</stp>
        <tr r="D218" s="2"/>
      </tp>
      <tp>
        <v>226</v>
        <stp/>
        <stp>BDP|11721371786302940430|22</stp>
        <stp>EASTPIPE AB Equity</stp>
        <stp>YEST_LAST_TRADE</stp>
        <tr r="G217" s="2"/>
      </tp>
      <tp>
        <v>32.82</v>
        <stp/>
        <stp>BDP|5899900754837129528|22</stp>
        <stp>LUMI AB Equity</stp>
        <stp>HIGH</stp>
        <tr r="M280" s="2"/>
      </tp>
      <tp>
        <v>10.76</v>
        <stp/>
        <stp>BDP|15815713728633574800|22</stp>
        <stp>TALEEM AB Equity</stp>
        <stp>LAST_PRICE</stp>
        <tr r="C112" s="2"/>
        <tr r="B112" s="2"/>
      </tp>
      <tp>
        <v>4.3787999153137207</v>
        <stp/>
        <stp>BDP|13043500434364558891|22</stp>
        <stp>MALATH AB Equity</stp>
        <stp>RT_PX_CHG_PCT_1D</stp>
        <tr r="D182" s="2"/>
      </tp>
      <tp>
        <v>23.95</v>
        <stp/>
        <stp>BDP|15840434103338591318|22</stp>
        <stp>REDSEA AB Equity</stp>
        <stp>LAST_PRICE</stp>
        <tr r="B252" s="2"/>
        <tr r="C252" s="2"/>
      </tp>
      <tp>
        <v>9.93</v>
        <stp/>
        <stp>BDP|17642402717977841802|22</stp>
        <stp>NAYIFAT AB Equity</stp>
        <stp>LAST_PRICE</stp>
        <tr r="B121" s="2"/>
        <tr r="C121" s="2"/>
      </tp>
      <tp>
        <v>19.2</v>
        <stp/>
        <stp>BDP|9028958488494762833|22</stp>
        <stp>SOCCO AB Equity</stp>
        <stp>BID</stp>
        <tr r="Q200" s="2"/>
      </tp>
      <tp>
        <v>154.19999999999999</v>
        <stp/>
        <stp>BDP|6513327932038750080|22</stp>
        <stp>RASAN AB Equity</stp>
        <stp>LOW</stp>
        <tr r="L189" s="2"/>
      </tp>
      <tp>
        <v>5.7</v>
        <stp/>
        <stp>BDP|2638715877596000573|22</stp>
        <stp>CMCER AB Equity</stp>
        <stp>ASK</stp>
        <tr r="R161" s="2"/>
      </tp>
      <tp>
        <v>-32.155099999999997</v>
        <stp/>
        <stp>BDP|5070670805390902131|22</stp>
        <stp>ALMOOSA AB Equity</stp>
        <stp>CHG_PCT_YTD_RT</stp>
        <tr r="F155" s="2"/>
      </tp>
      <tp>
        <v>1.3846000000000001</v>
        <stp/>
        <stp>BDP|7435679170780855089|22</stp>
        <stp>RJHI AB Equity</stp>
        <stp>CHG_PCT_YTD_RT</stp>
        <tr r="F12" s="2"/>
      </tp>
      <tp>
        <v>8.86</v>
        <stp/>
        <stp>BDP|1856617555739570213|22</stp>
        <stp>AMLAK AB Equity</stp>
        <stp>LAST_PRICE</stp>
        <tr r="C122" s="2"/>
        <tr r="B122" s="2"/>
      </tp>
      <tp>
        <v>125.1</v>
        <stp/>
        <stp>BDP|18003334968834037688|22</stp>
        <stp>LUBEREF AB Equity</stp>
        <stp>YEST_LAST_TRADE</stp>
        <tr r="G235" s="2"/>
      </tp>
      <tp>
        <v>31</v>
        <stp/>
        <stp>BDP|13376077248765995809|22</stp>
        <stp>SGS AB Equity</stp>
        <stp>BID</stp>
        <tr r="Q281" s="2"/>
      </tp>
      <tp>
        <v>-1.4197</v>
        <stp/>
        <stp>BDP|3238812868319909601|22</stp>
        <stp>LAZURDE AB Equity</stp>
        <stp>CHG_PCT_1M_RT</stp>
        <tr r="E57" s="2"/>
      </tp>
      <tp>
        <v>5.66</v>
        <stp/>
        <stp>BDP|14869014333799039423|22</stp>
        <stp>DERAYAHR AB Equity</stp>
        <stp>YEST_LAST_TRADE</stp>
        <tr r="G104" s="2"/>
      </tp>
      <tp>
        <v>204.7</v>
        <stp/>
        <stp>BDP|15530835268361710169|22</stp>
        <stp>SOLUTION AB Equity</stp>
        <stp>YEST_LAST_TRADE</stp>
        <tr r="G270" s="2"/>
      </tp>
      <tp>
        <v>-0.44499999284744263</v>
        <stp/>
        <stp>BDP|12866900738637336317|22</stp>
        <stp>LEEJAM AB Equity</stp>
        <stp>RT_PX_CHG_PCT_1D</stp>
        <tr r="D71" s="2"/>
      </tp>
      <tp>
        <v>12321805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1!R296C17</stp>
        <stp>PX_LAST</stp>
        <tr r="Q296" s="2"/>
      </tp>
      <tp t="e">
        <v>#N/A</v>
        <stp/>
        <stp>##V3_BFIELDINFOV12</stp>
        <stp>[all .xlsx]Sheet 1!R296C16</stp>
        <stp>PX_LAST</stp>
        <tr r="P296" s="2"/>
      </tp>
    </main>
    <main first="bofaddin.rtdserver">
      <tp>
        <v>-0.19539999961853027</v>
        <stp/>
        <stp>BDP|1936377257283202237|22</stp>
        <stp>SOLUTION AB Equity</stp>
        <stp>RT_PX_CHG_PCT_1D</stp>
        <tr r="D270" s="2"/>
      </tp>
      <tp>
        <v>1.333299994468689</v>
        <stp/>
        <stp>BDP|6736173950839938322|22</stp>
        <stp>ALKHLEEJ AB Equity</stp>
        <stp>RT_PX_CHG_PCT_1D</stp>
        <tr r="D64" s="2"/>
      </tp>
      <tp>
        <v>17.11</v>
        <stp/>
        <stp>BDP|16592477188975806251|22</stp>
        <stp>teco AB Equity</stp>
        <stp>OPEN</stp>
        <tr r="K72" s="2"/>
      </tp>
      <tp>
        <v>35.091700000000003</v>
        <stp/>
        <stp>BDP|16429530188131223364|22</stp>
        <stp>GAS AB Equity</stp>
        <stp>CHG_PCT_YTD_RT</stp>
        <tr r="F30" s="2"/>
      </tp>
      <tp>
        <v>55.7</v>
        <stp/>
        <stp>BDP|262054140500897592|22</stp>
        <stp>FLYNAS AB Equity</stp>
        <stp>LAST_PRICE</stp>
        <tr r="C283" s="2"/>
        <tr r="B283" s="2"/>
      </tp>
      <tp>
        <v>22.06</v>
        <stp/>
        <stp>BDP|459806040984096944|22</stp>
        <stp>FPCO AB Equity</stp>
        <stp>YEST_LAST_TRADE</stp>
        <tr r="G147" s="2"/>
      </tp>
      <tp>
        <v>13.33</v>
        <stp/>
        <stp>BDP|4169951806543964341|22</stp>
        <stp>WATAN AB Equity</stp>
        <stp>BID</stp>
        <tr r="Q165" s="2"/>
      </tp>
      <tp>
        <v>91.5</v>
        <stp/>
        <stp>BDP|16480676164631469755|22</stp>
        <stp>EAT AB Equity</stp>
        <stp>HIGH</stp>
        <tr r="M277" s="2"/>
      </tp>
      <tp>
        <v>3132618</v>
        <stp/>
        <stp>BDP|4790955994703145945|22</stp>
        <stp>ZAINKSA AB Equity</stp>
        <stp>VOLUME</stp>
        <tr r="J276" s="2"/>
      </tp>
      <tp>
        <v>-34.331099999999999</v>
        <stp/>
        <stp>BDP|9191425653162536059|22</stp>
        <stp>UIHC AB Equity</stp>
        <stp>CHG_PCT_YTD_RT</stp>
        <tr r="F119" s="2"/>
      </tp>
      <tp>
        <v>-1.9802</v>
        <stp/>
        <stp>BDP|9287768930086820678|22</stp>
        <stp>NGCO AB Equity</stp>
        <stp>CHG_PCT_YTD_RT</stp>
        <tr r="F199" s="2"/>
      </tp>
      <tp>
        <v>156</v>
        <stp/>
        <stp>BDP|8064935468269551653|22</stp>
        <stp>RASAN AB Equity</stp>
        <stp>ASK</stp>
        <tr r="R189" s="2"/>
      </tp>
      <tp>
        <v>-10.9589</v>
        <stp/>
        <stp>BDP|13055274257829853094|22</stp>
        <stp>KAYAN AB Equity</stp>
        <stp>CHG_PCT_1M_RT</stp>
        <tr r="E198" s="2"/>
      </tp>
      <tp>
        <v>-20.911000000000001</v>
        <stp/>
        <stp>BDP|8026572715551166053|22</stp>
        <stp>MRNA AB Equity</stp>
        <stp>CHG_PCT_YTD_RT</stp>
        <tr r="F124" s="2"/>
      </tp>
      <tp>
        <v>2.09</v>
        <stp/>
        <stp>BDP|3031506552485036685|22</stp>
        <stp>AMERICAN AB Equity</stp>
        <stp>LAST_PRICE</stp>
        <tr r="B68" s="2"/>
        <tr r="C68" s="2"/>
      </tp>
      <tp>
        <v>13.39</v>
        <stp/>
        <stp>BDP|3136087310068001990|22</stp>
        <stp>WATAN AB Equity</stp>
        <stp>ASK</stp>
        <tr r="R165" s="2"/>
      </tp>
      <tp>
        <v>2.4700000000000002</v>
        <stp/>
        <stp>BDP|3071729625744323439|22</stp>
        <stp>AHFCO AB Equity</stp>
        <stp>LAST_PRICE</stp>
        <tr r="B60" s="2"/>
        <tr r="C60" s="2"/>
      </tp>
      <tp>
        <v>18</v>
        <stp/>
        <stp>BDP|9181619575666236484|22</stp>
        <stp>MASAR AB Equity</stp>
        <stp>LAST_PRICE</stp>
        <tr r="B253" s="2"/>
        <tr r="C253" s="2"/>
      </tp>
      <tp>
        <v>15.69</v>
        <stp/>
        <stp>BDP|1365816513565044883|22</stp>
        <stp>YNCCO AB Equity</stp>
        <stp>LAST_PRICE</stp>
        <tr r="C209" s="2"/>
        <tr r="B209" s="2"/>
      </tp>
      <tp>
        <v>5.46</v>
        <stp/>
        <stp>BDP|13683283838126447983|22</stp>
        <stp>BAAZEEM AB Equity</stp>
        <stp>YEST_LAST_TRADE</stp>
        <tr r="G48" s="2"/>
      </tp>
      <tp>
        <v>-1.4809000492095947</v>
        <stp/>
        <stp>BDP|17191542561156161478|22</stp>
        <stp>REDSEA AB Equity</stp>
        <stp>RT_PX_CHG_PCT_1D</stp>
        <tr r="D252" s="2"/>
      </tp>
      <tp>
        <v>44.475200000000001</v>
        <stp/>
        <stp>BDP|6611060050540252655|22</stp>
        <stp>SACO AB Equity</stp>
        <stp>VWAP</stp>
        <tr r="N45" s="2"/>
      </tp>
      <tp>
        <v>1.2329000234603882</v>
        <stp/>
        <stp>BDP|14272895088574185928|22</stp>
        <stp>NOFOTH AB Equity</stp>
        <stp>RT_PX_CHG_PCT_1D</stp>
        <tr r="D148" s="2"/>
      </tp>
      <tp>
        <v>2.5423998832702637</v>
        <stp/>
        <stp>BDP|1714550117478654876|22</stp>
        <stp>AVALONPH AB Equity</stp>
        <stp>RT_PX_CHG_PCT_1D</stp>
        <tr r="D247" s="2"/>
      </tp>
      <tp>
        <v>54</v>
        <stp/>
        <stp>BDP|2941625322362361051|22</stp>
        <stp>SARCO AB Equity</stp>
        <stp>BID</stp>
        <tr r="Q93" s="2"/>
      </tp>
      <tp>
        <v>28.6</v>
        <stp/>
        <stp>BDP|721721227001942841|22</stp>
        <stp>MODERNMI AB Equity</stp>
        <stp>LOW</stp>
        <tr r="L137" s="2"/>
      </tp>
      <tp>
        <v>2.0299999999999998</v>
        <stp/>
        <stp>BDP|907323466938449683|22</stp>
        <stp>AATD AB Equity</stp>
        <stp>YEST_LAST_TRADE</stp>
        <tr r="G76" s="2"/>
      </tp>
      <tp>
        <v>17.899999999999999</v>
        <stp/>
        <stp>BDP|7178170065280516984|22</stp>
        <stp>MASAR AB Equity</stp>
        <stp>BID</stp>
        <tr r="Q253" s="2"/>
      </tp>
      <tp>
        <v>220744</v>
        <stp/>
        <stp>BDP|8654844687471157472|22</stp>
        <stp>UIHC AB Equity</stp>
        <stp>VOLUME</stp>
        <tr r="J119" s="2"/>
      </tp>
      <tp>
        <v>10.8444</v>
        <stp/>
        <stp>BDP|14289853688952122139|22</stp>
        <stp>WATAN AB Equity</stp>
        <stp>CHG_PCT_1M_RT</stp>
        <tr r="E165" s="2"/>
      </tp>
      <tp>
        <v>10.46</v>
        <stp/>
        <stp>BDP|9232907871559863847|22</stp>
        <stp>WALAA AB Equity</stp>
        <stp>ASK</stp>
        <tr r="R169" s="2"/>
      </tp>
      <tp>
        <v>37.9</v>
        <stp/>
        <stp>BDP|16973037386330357651|22</stp>
        <stp>MARAFIQ AB Equity</stp>
        <stp>YEST_LAST_TRADE</stp>
        <tr r="G288" s="2"/>
      </tp>
      <tp>
        <v>3.41</v>
        <stp/>
        <stp>BDP|5780202605081053098|22</stp>
        <stp>MEFIC AB Equity</stp>
        <stp>LAST_PRICE</stp>
        <tr r="B108" s="2"/>
        <tr r="C108" s="2"/>
      </tp>
      <tp>
        <v>18.440000000000001</v>
        <stp/>
        <stp>BDP|8060397438996463942|22</stp>
        <stp>TAIBA AB Equity</stp>
        <stp>LAST_PRICE</stp>
        <tr r="C264" s="2"/>
        <tr r="B264" s="2"/>
      </tp>
      <tp>
        <v>16.68</v>
        <stp/>
        <stp>BDP|14348958117946720213|22</stp>
        <stp>SMCHEALT AB Equity</stp>
        <stp>YEST_LAST_TRADE</stp>
        <tr r="G150" s="2"/>
      </tp>
      <tp>
        <v>177.7</v>
        <stp/>
        <stp>BDP|4479541161886037982|22</stp>
        <stp>BUPA AB Equity</stp>
        <stp>HIGH</stp>
        <tr r="M188" s="2"/>
      </tp>
      <tp>
        <v>17.765799999999999</v>
        <stp/>
        <stp>BDP|7026943975559312259|22</stp>
        <stp>SECO AB Equity</stp>
        <stp>VWAP</stp>
        <tr r="N291" s="2"/>
      </tp>
      <tp>
        <v>215.6</v>
        <stp/>
        <stp>BDP|745051098164162531|22</stp>
        <stp>SADAFCO AB Equity</stp>
        <stp>OPEN</stp>
        <tr r="K134" s="2"/>
      </tp>
      <tp>
        <v>-9.1207999999999991</v>
        <stp/>
        <stp>BDP|248748691418022457|22</stp>
        <stp>AWPT AB Equity</stp>
        <stp>CHG_PCT_1M_RT</stp>
        <tr r="E290" s="2"/>
      </tp>
      <tp>
        <v>93917</v>
        <stp/>
        <stp>BDP|751107802277573297|22</stp>
        <stp>FIRSTMIL AB Equity</stp>
        <stp>VOLUME</stp>
        <tr r="J135" s="2"/>
      </tp>
      <tp>
        <v>0.86309999227523804</v>
        <stp/>
        <stp>BDP|1186894968170855377|22</stp>
        <stp>CHEMICAL AB Equity</stp>
        <stp>RT_PX_CHG_PCT_1D</stp>
        <tr r="D154" s="2"/>
      </tp>
      <tp>
        <v>11.11</v>
        <stp/>
        <stp>BDP|16988526463126115663|22</stp>
        <stp>LAZURDE AB Equity</stp>
        <stp>LAST_PRICE</stp>
        <tr r="C57" s="2"/>
        <tr r="B57" s="2"/>
      </tp>
      <tp>
        <v>5.86</v>
        <stp/>
        <stp>BDP|16831414107240648464|22</stp>
        <stp>AOTHAIM AB Equity</stp>
        <stp>LAST_PRICE</stp>
        <tr r="C82" s="2"/>
        <tr r="B82" s="2"/>
      </tp>
      <tp>
        <v>33.119999999999997</v>
        <stp/>
        <stp>BDP|16928403264797266347|22</stp>
        <stp>HB AB Equity</stp>
        <stp>HIGH</stp>
        <tr r="M139" s="2"/>
      </tp>
      <tp>
        <v>5.73</v>
        <stp/>
        <stp>BDP|2861308897459508444|22</stp>
        <stp>ALKHABEE AB Equity</stp>
        <stp>LAST_PRICE</stp>
        <tr r="C110" s="2"/>
        <tr r="B110" s="2"/>
      </tp>
      <tp>
        <v>8.18</v>
        <stp/>
        <stp>BDP|4505813204835391175|22</stp>
        <stp>CHEMICAL AB Equity</stp>
        <stp>LAST_PRICE</stp>
        <tr r="B154" s="2"/>
        <tr r="C154" s="2"/>
      </tp>
      <tp>
        <v>-0.1703999936580658</v>
        <stp/>
        <stp>BDP|84679495677823312|22</stp>
        <stp>AOTHAIM AB Equity</stp>
        <stp>RT_PX_CHG_PCT_1D</stp>
        <tr r="D82" s="2"/>
      </tp>
      <tp>
        <v>14.94</v>
        <stp/>
        <stp>BDP|2667750727327655540|22</stp>
        <stp>HERFY AB Equity</stp>
        <stp>BID</stp>
        <tr r="Q69" s="2"/>
      </tp>
      <tp>
        <v>44.86</v>
        <stp/>
        <stp>BDP|7828241490415715333|22</stp>
        <stp>QACCO AB Equity</stp>
        <stp>BID</stp>
        <tr r="Q225" s="2"/>
      </tp>
      <tp>
        <v>-6.1800000000000001E-2</v>
        <stp/>
        <stp>BDP|8020758176109712906|22</stp>
        <stp>SABB AB Equity</stp>
        <stp>CHG_PCT_YTD_RT</stp>
        <tr r="F7" s="2"/>
      </tp>
      <tp>
        <v>6448550</v>
        <stp/>
        <stp>BDP|1892381213997552004|22</stp>
        <stp>RIBL AB Equity</stp>
        <stp>VOLUME</stp>
        <tr r="J9" s="2"/>
      </tp>
      <tp>
        <v>32.299999999999997</v>
        <stp/>
        <stp>BDP|10941165833322253002|22</stp>
        <stp>MEH AB Equity</stp>
        <stp>HIGH</stp>
        <tr r="M152" s="2"/>
      </tp>
      <tp>
        <v>-26.002099999999999</v>
        <stp/>
        <stp>BDP|2956010304872730940|22</stp>
        <stp>NGIC AB Equity</stp>
        <stp>CHG_PCT_YTD_RT</stp>
        <tr r="F293" s="2"/>
      </tp>
      <tp>
        <v>-4.0702999999999996</v>
        <stp/>
        <stp>BDP|2215576421523487185|22</stp>
        <stp>ARNB AB Equity</stp>
        <stp>CHG_PCT_YTD_RT</stp>
        <tr r="F8" s="2"/>
      </tp>
      <tp>
        <v>19.260000000000002</v>
        <stp/>
        <stp>BDP|9548986258438940345|22</stp>
        <stp>SOCCO AB Equity</stp>
        <stp>ASK</stp>
        <tr r="R200" s="2"/>
      </tp>
      <tp>
        <v>12.43</v>
        <stp/>
        <stp>BDP|3826339724403551034|22</stp>
        <stp>ANAAM AB Equity</stp>
        <stp>LAST_PRICE</stp>
        <tr r="B84" s="2"/>
        <tr r="C84" s="2"/>
      </tp>
      <tp>
        <v>-0.55250000953674316</v>
        <stp/>
        <stp>BDP|11931732492437697982|22</stp>
        <stp>MAATHER AB Equity</stp>
        <stp>RT_PX_CHG_PCT_1D</stp>
        <tr r="D106" s="2"/>
      </tp>
      <tp>
        <v>228.6</v>
        <stp/>
        <stp>BDP|17018608831841662138|22</stp>
        <stp>MIS AB Equity</stp>
        <stp>LOW</stp>
        <tr r="L268" s="2"/>
      </tp>
      <tp>
        <v>9.98</v>
        <stp/>
        <stp>BDP|7903715992176283532|22</stp>
        <stp>EMAAR AB Equity</stp>
        <stp>LAST_PRICE</stp>
        <tr r="C262" s="2"/>
        <tr r="B262" s="2"/>
      </tp>
      <tp>
        <v>32.5197</v>
        <stp/>
        <stp>BDP|8063105089223238354|22</stp>
        <stp>SABB AB Equity</stp>
        <stp>VWAP</stp>
        <tr r="N7" s="2"/>
      </tp>
      <tp>
        <v>2.06</v>
        <stp/>
        <stp>BDP|8952644002577720156|22</stp>
        <stp>AATD AB Equity</stp>
        <stp>HIGH</stp>
        <tr r="M76" s="2"/>
      </tp>
      <tp>
        <v>2.0499999999999998</v>
        <stp/>
        <stp>BDP|10878722752896993871|22</stp>
        <stp>AMERICAN AB Equity</stp>
        <stp>YEST_LAST_TRADE</stp>
        <tr r="G68" s="2"/>
      </tp>
      <tp>
        <v>-8.4091000000000005</v>
        <stp/>
        <stp>BDP|11363305777010560785|22</stp>
        <stp>EEC AB Equity</stp>
        <stp>CHG_PCT_YTD_RT</stp>
        <tr r="F274" s="2"/>
      </tp>
      <tp>
        <v>318029</v>
        <stp/>
        <stp>BDP|11491378731500217173|22</stp>
        <stp>MEH AB Equity</stp>
        <stp>VOLUME</stp>
        <tr r="J152" s="2"/>
      </tp>
      <tp>
        <v>13.05</v>
        <stp/>
        <stp>BDP|4877667944064358615|22</stp>
        <stp>WATAN AB Equity</stp>
        <stp>LOW</stp>
        <tr r="L165" s="2"/>
      </tp>
      <tp>
        <v>-34.495199999999997</v>
        <stp/>
        <stp>BDP|7621758306813691997|22</stp>
        <stp>LUMI AB Equity</stp>
        <stp>CHG_PCT_YTD_RT</stp>
        <tr r="F280" s="2"/>
      </tp>
      <tp>
        <v>7.2</v>
        <stp/>
        <stp>BDP|513528156395154605|22</stp>
        <stp>ALMAJDIA AB Equity</stp>
        <stp>BID</stp>
        <tr r="Q261" s="2"/>
      </tp>
      <tp>
        <v>4.6295999999999999</v>
        <stp/>
        <stp>BDP|11777045002450090322|22</stp>
        <stp>BATIC AB Equity</stp>
        <stp>CHG_PCT_1M_RT</stp>
        <tr r="E26" s="2"/>
      </tp>
      <tp>
        <v>15.2</v>
        <stp/>
        <stp>BDP|805945916773830379|22</stp>
        <stp>ALKHLEEJ AB Equity</stp>
        <stp>BID</stp>
        <tr r="Q64" s="2"/>
      </tp>
      <tp>
        <v>1</v>
        <stp/>
        <stp>BDP|1942752064473238651|22</stp>
        <stp>RYDREIT AB Equity</stp>
        <stp>CHG_PCT_1M_RT</stp>
        <tr r="E111" s="2"/>
      </tp>
      <tp>
        <v>24.59</v>
        <stp/>
        <stp>BDP|7735401331718600828|22</stp>
        <stp>ENTAJ AB Equity</stp>
        <stp>LAST_PRICE</stp>
        <tr r="B129" s="2"/>
        <tr r="C129" s="2"/>
      </tp>
      <tp>
        <v>17.68</v>
        <stp/>
        <stp>BDP|10801274388026874054|22</stp>
        <stp>GAS AB Equity</stp>
        <stp>ASK</stp>
        <tr r="R30" s="2"/>
      </tp>
      <tp>
        <v>5.01</v>
        <stp/>
        <stp>BDP|16088994423359077447|22</stp>
        <stp>TAKWEEN AB Equity</stp>
        <stp>YEST_LAST_TRADE</stp>
        <tr r="G218" s="2"/>
      </tp>
      <tp>
        <v>7.3071000000000002</v>
        <stp/>
        <stp>BDP|6559672522920750351|22</stp>
        <stp>YAMAMAH AB Equity</stp>
        <stp>CHG_PCT_1M_RT</stp>
        <tr r="E214" s="2"/>
      </tp>
      <tp>
        <v>12.02</v>
        <stp/>
        <stp>BDP|5850158589152439642|22</stp>
        <stp>RETAL AB Equity</stp>
        <stp>LAST_PRICE</stp>
        <tr r="C250" s="2"/>
        <tr r="B250" s="2"/>
      </tp>
      <tp>
        <v>-3.6427</v>
        <stp/>
        <stp>BDP|5142853939152169122|22</stp>
        <stp>DERAYAH AB Equity</stp>
        <stp>CHG_PCT_1M_RT</stp>
        <tr r="E116" s="2"/>
      </tp>
      <tp>
        <v>11.61</v>
        <stp/>
        <stp>BDP|10326932375742932619|22</stp>
        <stp>BJAZ AB Equity</stp>
        <stp>BID</stp>
        <tr r="Q6" s="2"/>
      </tp>
      <tp>
        <v>6.45</v>
        <stp/>
        <stp>BDP|637560024043092399|22</stp>
        <stp>2P AB Equity</stp>
        <stp>LOW</stp>
        <tr r="L267" s="2"/>
      </tp>
      <tp>
        <v>6.69</v>
        <stp/>
        <stp>BDP|17318880947400355043|22</stp>
        <stp>NORTHCEM AB Equity</stp>
        <stp>YEST_LAST_TRADE</stp>
        <tr r="G230" s="2"/>
      </tp>
      <tp>
        <v>6.59</v>
        <stp/>
        <stp>BDP|8817699817657207927|22</stp>
        <stp>2P AB Equity</stp>
        <stp>LAST_PRICE</stp>
        <tr r="C267" s="2"/>
        <tr r="B267" s="2"/>
      </tp>
      <tp>
        <v>13.6</v>
        <stp/>
        <stp>BDP|17433340682222958505|22</stp>
        <stp>ALANDALU AB Equity</stp>
        <stp>YEST_LAST_TRADE</stp>
        <tr r="G258" s="2"/>
      </tp>
      <tp>
        <v>18.95</v>
        <stp/>
        <stp>BDP|16533940097205655333|22</stp>
        <stp>SVCP AB Equity</stp>
        <stp>BID</stp>
        <tr r="Q202" s="2"/>
      </tp>
      <tp>
        <v>-9.9461999999999993</v>
        <stp/>
        <stp>BDP|14827213175634104243|22</stp>
        <stp>UCA AB Equity</stp>
        <stp>CHG_PCT_YTD_RT</stp>
        <tr r="F181" s="2"/>
      </tp>
      <tp>
        <v>0.83920001983642578</v>
        <stp/>
        <stp>BDP|1385244800330050272|22</stp>
        <stp>ALMAJDIA AB Equity</stp>
        <stp>RT_PX_CHG_PCT_1D</stp>
        <tr r="D261" s="2"/>
      </tp>
      <tp>
        <v>0.52939999103546143</v>
        <stp/>
        <stp>BDP|1608042293088789287|22</stp>
        <stp>CENOMICE AB Equity</stp>
        <stp>RT_PX_CHG_PCT_1D</stp>
        <tr r="D259" s="2"/>
      </tp>
      <tp>
        <v>30.6828</v>
        <stp/>
        <stp>BDP|13366525757116927891|22</stp>
        <stp>EIC AB Equity</stp>
        <stp>CHG_PCT_YTD_RT</stp>
        <tr r="F16" s="2"/>
      </tp>
      <tp>
        <v>11.62</v>
        <stp/>
        <stp>BDP|10191111562440495380|22</stp>
        <stp>KINGDOM AB Equity</stp>
        <stp>LAST_PRICE</stp>
        <tr r="C125" s="2"/>
        <tr r="B125" s="2"/>
      </tp>
      <tp>
        <v>774303</v>
        <stp/>
        <stp>BDP|7337279893833055121|22</stp>
        <stp>SVCP AB Equity</stp>
        <stp>VOLUME</stp>
        <tr r="J202" s="2"/>
      </tp>
      <tp>
        <v>71.349999999999994</v>
        <stp/>
        <stp>BDP|7368482605666433600|22</stp>
        <stp>RAOOM AB Equity</stp>
        <stp>BID</stp>
        <tr r="Q19" s="2"/>
      </tp>
      <tp>
        <v>1187222</v>
        <stp/>
        <stp>BDP|1399222021224525568|22</stp>
        <stp>ADES AB Equity</stp>
        <stp>VOLUME</stp>
        <tr r="J90" s="2"/>
      </tp>
      <tp>
        <v>16.600000000000001</v>
        <stp/>
        <stp>BDP|1126255485855125356|22</stp>
        <stp>JARIR AB Equity</stp>
        <stp>LOW</stp>
        <tr r="L51" s="2"/>
      </tp>
      <tp>
        <v>412956</v>
        <stp/>
        <stp>BDP|3399876177232419789|22</stp>
        <stp>SIIG AB Equity</stp>
        <stp>VOLUME</stp>
        <tr r="J227" s="2"/>
      </tp>
      <tp>
        <v>104.6</v>
        <stp/>
        <stp>BDP|14315060677003350243|22</stp>
        <stp>DWF AB Equity</stp>
        <stp>HIGH</stp>
        <tr r="M70" s="2"/>
      </tp>
      <tp>
        <v>-9.4087999999999994</v>
        <stp/>
        <stp>BDP|2783388401843953626|22</stp>
        <stp>SAAC AB Equity</stp>
        <stp>CHG_PCT_YTD_RT</stp>
        <tr r="F17" s="2"/>
      </tp>
      <tp>
        <v>40.299999999999997</v>
        <stp/>
        <stp>BDP|5021972700449400258|22</stp>
        <stp>BAWAN AB Equity</stp>
        <stp>LAST_PRICE</stp>
        <tr r="C22" s="2"/>
        <tr r="B22" s="2"/>
      </tp>
      <tp>
        <v>6.46</v>
        <stp/>
        <stp>BDP|18221659708667924907|22</stp>
        <stp>CGS AB Equity</stp>
        <stp>LOW</stp>
        <tr r="L31" s="2"/>
      </tp>
      <tp>
        <v>6.64</v>
        <stp/>
        <stp>BDP|14047720209593757341|22</stp>
        <stp>CGS AB Equity</stp>
        <stp>BID</stp>
        <tr r="Q31" s="2"/>
      </tp>
      <tp>
        <v>28.18</v>
        <stp/>
        <stp>BDP|13981198977900238697|22</stp>
        <stp>SPIMACO AB Equity</stp>
        <stp>YEST_LAST_TRADE</stp>
        <tr r="G246" s="2"/>
      </tp>
      <tp>
        <v>33.74</v>
        <stp/>
        <stp>BDP|2586267078088775866|22</stp>
        <stp>SISCO AB Equity</stp>
        <stp>LAST_PRICE</stp>
        <tr r="B284" s="2"/>
        <tr r="C284" s="2"/>
      </tp>
      <tp>
        <v>1.2862000465393066</v>
        <stp/>
        <stp>BDP|15891223624078201475|22</stp>
        <stp>SMASCO AB Equity</stp>
        <stp>RT_PX_CHG_PCT_1D</stp>
        <tr r="D35" s="2"/>
      </tp>
      <tp>
        <v>10756.51</v>
        <stp/>
        <stp>BDP|3971122116856505083|22</stp>
        <stp>SASEIDX Index</stp>
        <stp>LOW</stp>
        <tr r="L2" s="2"/>
      </tp>
      <tp>
        <v>7.18</v>
        <stp/>
        <stp>BDP|1886751970318222753|22</stp>
        <stp>SPPC AB Equity</stp>
        <stp>OPEN</stp>
        <tr r="K40" s="2"/>
      </tp>
      <tp>
        <v>11.5</v>
        <stp/>
        <stp>BDP|12459093752838741090|22</stp>
        <stp>SAGR AB Equity</stp>
        <stp>LOW</stp>
        <tr r="L184" s="2"/>
      </tp>
      <tp>
        <v>32.619999999999997</v>
        <stp/>
        <stp>BDP|5163463946224584429|22</stp>
        <stp>SABB AB Equity</stp>
        <stp>OPEN</stp>
        <tr r="K7" s="2"/>
      </tp>
      <tp>
        <v>-2.6591999530792236</v>
        <stp/>
        <stp>BDP|10343049978782287296|22</stp>
        <stp>CENOMI AB Equity</stp>
        <stp>RT_PX_CHG_PCT_1D</stp>
        <tr r="D49" s="2"/>
      </tp>
      <tp>
        <v>7.46</v>
        <stp/>
        <stp>BDP|10931833971010655353|22</stp>
        <stp>BURGERIZ AB Equity</stp>
        <stp>YEST_LAST_TRADE</stp>
        <tr r="G63" s="2"/>
      </tp>
      <tp>
        <v>-3.7918000221252441</v>
        <stp/>
        <stp>BDP|3002652670163845778|22</stp>
        <stp>ALBABTAI AB Equity</stp>
        <stp>RT_PX_CHG_PCT_1D</stp>
        <tr r="AB4" s="2"/>
        <tr r="D15" s="2"/>
      </tp>
      <tp>
        <v>154.5</v>
        <stp/>
        <stp>BDP|2819665071796539282|22</stp>
        <stp>RASAN AB Equity</stp>
        <stp>BID</stp>
        <tr r="Q189" s="2"/>
      </tp>
      <tp>
        <v>12.02</v>
        <stp/>
        <stp>BDP|1898053264204241037|22</stp>
        <stp>RETAL AB Equity</stp>
        <stp>BID</stp>
        <tr r="Q250" s="2"/>
      </tp>
      <tp>
        <v>-3.8031000000000001</v>
        <stp/>
        <stp>BDP|2926425156631458211|22</stp>
        <stp>SAUDIRE AB Equity</stp>
        <stp>CHG_PCT_YTD_RT</stp>
        <tr r="F167" s="2"/>
      </tp>
      <tp>
        <v>7.87</v>
        <stp/>
        <stp>BDP|8564970147987003729|22</stp>
        <stp>TACCO AB Equity</stp>
        <stp>BID</stp>
        <tr r="Q212" s="2"/>
      </tp>
      <tp>
        <v>75.7</v>
        <stp/>
        <stp>BDP|9379901395443999971|22</stp>
        <stp>SFICO AB Equity</stp>
        <stp>LOW</stp>
        <tr r="L130" s="2"/>
      </tp>
      <tp>
        <v>9.98</v>
        <stp/>
        <stp>BDP|5611214302525431027|22</stp>
        <stp>EMAAR AB Equity</stp>
        <stp>ASK</stp>
        <tr r="R262" s="2"/>
      </tp>
      <tp>
        <v>6.8</v>
        <stp/>
        <stp>BDP|2930797613461702237|22</stp>
        <stp>ALETIHAD AB Equity</stp>
        <stp>LAST_PRICE</stp>
        <tr r="B180" s="2"/>
        <tr r="C180" s="2"/>
      </tp>
      <tp>
        <v>-2.0327999999999999</v>
        <stp/>
        <stp>BDP|13896470133431232091|22</stp>
        <stp>HERFY AB Equity</stp>
        <stp>CHG_PCT_1M_RT</stp>
        <tr r="E69" s="2"/>
      </tp>
      <tp>
        <v>545002</v>
        <stp/>
        <stp>BDP|9346508826986899990|22</stp>
        <stp>NGCO AB Equity</stp>
        <stp>VOLUME</stp>
        <tr r="J199" s="2"/>
      </tp>
      <tp>
        <v>220</v>
        <stp/>
        <stp>BDP|2040745099769987545|22</stp>
        <stp>EASTPIPE AB Equity</stp>
        <stp>LAST_PRICE</stp>
        <tr r="B217" s="2"/>
        <tr r="C217" s="2"/>
      </tp>
      <tp>
        <v>33.18</v>
        <stp/>
        <stp>BDP|1302770914856233444|22</stp>
        <stp>TALCO AB Equity</stp>
        <stp>ASK</stp>
        <tr r="R208" s="2"/>
      </tp>
      <tp>
        <v>235</v>
        <stp/>
        <stp>BDP|10668333449836180963|22</stp>
        <stp>MIS AB Equity</stp>
        <stp>HIGH</stp>
        <tr r="M268" s="2"/>
      </tp>
      <tp>
        <v>15.09</v>
        <stp/>
        <stp>BDP|8416316120885308186|22</stp>
        <stp>ASACO AB Equity</stp>
        <stp>LAST_PRICE</stp>
        <tr r="B127" s="2"/>
        <tr r="C127" s="2"/>
      </tp>
      <tp>
        <v>89.25</v>
        <stp/>
        <stp>BDP|13875987245839136627|22</stp>
        <stp>EAT AB Equity</stp>
        <stp>LOW</stp>
        <tr r="L277" s="2"/>
      </tp>
      <tp>
        <v>55.95</v>
        <stp/>
        <stp>BDP|13878903161682533179|22</stp>
        <stp>TANMIAH AB Equity</stp>
        <stp>YEST_LAST_TRADE</stp>
        <tr r="G146" s="2"/>
      </tp>
      <tp>
        <v>33.159999999999997</v>
        <stp/>
        <stp>BDP|1452957555563565398|22</stp>
        <stp>TALCO AB Equity</stp>
        <stp>LAST_PRICE</stp>
        <tr r="B208" s="2"/>
        <tr r="C208" s="2"/>
      </tp>
      <tp>
        <v>167.7</v>
        <stp/>
        <stp>BDP|1129252730502988714|22</stp>
        <stp>SCACO AB Equity</stp>
        <stp>LAST_PRICE</stp>
        <tr r="B28" s="2"/>
        <tr r="C28" s="2"/>
      </tp>
      <tp>
        <v>5.87</v>
        <stp/>
        <stp>BDP|202028993016740542|22</stp>
        <stp>AOTHAIM AB Equity</stp>
        <stp>OPEN</stp>
        <tr r="K82" s="2"/>
      </tp>
      <tp>
        <v>7</v>
        <stp/>
        <stp>BDP|15680677553839464718|22</stp>
        <stp>ALISADRF AB Equity</stp>
        <stp>YEST_LAST_TRADE</stp>
        <tr r="G109" s="2"/>
      </tp>
      <tp>
        <v>0.93459999561309814</v>
        <stp/>
        <stp>BDP|10211569870615833607|22</stp>
        <stp>MAADEN AB Equity</stp>
        <stp>RT_PX_CHG_PCT_1D</stp>
        <tr r="D210" s="2"/>
      </tp>
      <tp>
        <v>16.239999999999998</v>
        <stp/>
        <stp>BDP|1888598014973384046|22</stp>
        <stp>SIDC AB Equity</stp>
        <stp>OPEN</stp>
        <tr r="K56" s="2"/>
      </tp>
      <tp>
        <v>7.22</v>
        <stp/>
        <stp>BDP|5524751683013103757|22</stp>
        <stp>ACIG AB Equity</stp>
        <stp>HIGH</stp>
        <tr r="M170" s="2"/>
      </tp>
      <tp>
        <v>-0.2856999933719635</v>
        <stp/>
        <stp>BDP|9487121336367411851|22</stp>
        <stp>ALISADRF AB Equity</stp>
        <stp>RT_PX_CHG_PCT_1D</stp>
        <tr r="D109" s="2"/>
      </tp>
      <tp>
        <v>16.32</v>
        <stp/>
        <stp>BDP|18062519367516036015|22</stp>
        <stp>MEDGULF AB Equity</stp>
        <stp>LAST_PRICE</stp>
        <tr r="C171" s="2"/>
        <tr r="B171" s="2"/>
      </tp>
      <tp>
        <v>0.23360000550746918</v>
        <stp/>
        <stp>BDP|3870489160982134677|22</stp>
        <stp>ABOMOATI AB Equity</stp>
        <stp>RT_PX_CHG_PCT_1D</stp>
        <tr r="D43" s="2"/>
      </tp>
      <tp>
        <v>-1.5356999635696411</v>
        <stp/>
        <stp>BDP|1013390969811703843|22</stp>
        <stp>JADWAREI AB Equity</stp>
        <stp>RT_PX_CHG_PCT_1D</stp>
        <tr r="D105" s="2"/>
      </tp>
      <tp>
        <v>7.4904999999999999</v>
        <stp/>
        <stp>BDP|15573597111367508809|22</stp>
        <stp>OBEKAN AB Equity</stp>
        <stp>CHG_PCT_1M_RT</stp>
        <tr r="E24" s="2"/>
      </tp>
      <tp>
        <v>-8.4541000000000004</v>
        <stp/>
        <stp>BDP|2355769739024947545|22</stp>
        <stp>SVCP AB Equity</stp>
        <stp>CHG_PCT_YTD_RT</stp>
        <tr r="F202" s="2"/>
      </tp>
      <tp>
        <v>23.18</v>
        <stp/>
        <stp>BDP|1594745437385712721|22</stp>
        <stp>THEEB AB Equity</stp>
        <stp>LOW</stp>
        <tr r="L286" s="2"/>
      </tp>
      <tp>
        <v>147.1</v>
        <stp/>
        <stp>BDP|2126336783004835033|22</stp>
        <stp>TAWUNIYA AB Equity</stp>
        <stp>LAST_PRICE</stp>
        <tr r="C183" s="2"/>
        <tr r="B183" s="2"/>
      </tp>
      <tp>
        <v>11.3965</v>
        <stp/>
        <stp>BDP|2305397781472878229|22</stp>
        <stp>UACC AB Equity</stp>
        <stp>CHG_PCT_YTD_RT</stp>
        <tr r="F206" s="2"/>
      </tp>
      <tp>
        <v>126962</v>
        <stp/>
        <stp>BDP|3917979770564210819|22</stp>
        <stp>LUMI AB Equity</stp>
        <stp>VOLUME</stp>
        <tr r="J280" s="2"/>
      </tp>
      <tp>
        <v>43.333300000000001</v>
        <stp/>
        <stp>BDP|1312980509676668328|22</stp>
        <stp>SIDC AB Equity</stp>
        <stp>CHG_PCT_YTD_RT</stp>
        <tr r="F56" s="2"/>
      </tp>
      <tp>
        <v>11.19</v>
        <stp/>
        <stp>BDP|13991011320858977300|22</stp>
        <stp>ALABDUL AB Equity</stp>
        <stp>YEST_LAST_TRADE</stp>
        <tr r="G58" s="2"/>
      </tp>
      <tp>
        <v>2.3660999999999999</v>
        <stp/>
        <stp>BDP|7507121891367625857|22</stp>
        <stp>TAMKEEN AB Equity</stp>
        <stp>CHG_PCT_1M_RT</stp>
        <tr r="E36" s="2"/>
      </tp>
      <tp>
        <v>11.58</v>
        <stp/>
        <stp>BDP|11695594878790469518|22</stp>
        <stp>BJAZ AB Equity</stp>
        <stp>LOW</stp>
        <tr r="L6" s="2"/>
      </tp>
      <tp>
        <v>13.91</v>
        <stp/>
        <stp>BDP|10216619084346518252|22</stp>
        <stp>SHAKER AB Equity</stp>
        <stp>LAST_PRICE</stp>
        <tr r="B18" s="2"/>
        <tr r="C18" s="2"/>
      </tp>
      <tp>
        <v>-0.60809999704360962</v>
        <stp/>
        <stp>BDP|12595356004933487727|22</stp>
        <stp>YANSAB AB Equity</stp>
        <stp>RT_PX_CHG_PCT_1D</stp>
        <tr r="D205" s="2"/>
      </tp>
      <tp>
        <v>2.279400110244751</v>
        <stp/>
        <stp>BDP|14361888766950272626|22</stp>
        <stp>SHAKER AB Equity</stp>
        <stp>RT_PX_CHG_PCT_1D</stp>
        <tr r="D18" s="2"/>
      </tp>
      <tp>
        <v>14.98</v>
        <stp/>
        <stp>BDP|12231007939614106874|22</stp>
        <stp>RAYDAN AB Equity</stp>
        <stp>LAST_PRICE</stp>
        <tr r="C73" s="2"/>
        <tr r="B73" s="2"/>
      </tp>
      <tp>
        <v>17.11</v>
        <stp/>
        <stp>BDP|4929453143026550664|22</stp>
        <stp>teco AB Equity</stp>
        <stp>LOW</stp>
        <tr r="L72" s="2"/>
      </tp>
      <tp>
        <v>0</v>
        <stp/>
        <stp>BDP|14121476251691227486|22</stp>
        <stp>ARAMCO AB Equity</stp>
        <stp>RT_PX_CHG_PCT_1D</stp>
        <tr r="D92" s="2"/>
      </tp>
      <tp>
        <v>18.2</v>
        <stp/>
        <stp>BDP|13098378838381043576|22</stp>
        <stp>TAPRCO AB Equity</stp>
        <stp>LAST_PRICE</stp>
        <tr r="B241" s="2"/>
        <tr r="C241" s="2"/>
      </tp>
      <tp>
        <v>34.119999999999997</v>
        <stp/>
        <stp>BDP|5907107922557828040|22</stp>
        <stp>ZIIC AB Equity</stp>
        <stp>OPEN</stp>
        <tr r="K221" s="2"/>
      </tp>
      <tp>
        <v>18</v>
        <stp/>
        <stp>BDP|2447995769037979095|22</stp>
        <stp>SECO AB Equity</stp>
        <stp>OPEN</stp>
        <tr r="K291" s="2"/>
      </tp>
      <tp>
        <v>14.31</v>
        <stp/>
        <stp>BDP|15965987277070760262|22</stp>
        <stp>SIPCHEM AB Equity</stp>
        <stp>LAST_PRICE</stp>
        <tr r="C236" s="2"/>
        <tr r="B236" s="2"/>
      </tp>
      <tp>
        <v>7.84</v>
        <stp/>
        <stp>BDP|1530608809960781526|22</stp>
        <stp>SEDCO AB Equity</stp>
        <stp>BID</stp>
        <tr r="Q99" s="2"/>
      </tp>
      <tp>
        <v>10.6</v>
        <stp/>
        <stp>BDP|6664326044234598302|22</stp>
        <stp>SAICO AB Equity</stp>
        <stp>BID</stp>
        <tr r="Q186" s="2"/>
      </tp>
      <tp>
        <v>25.18</v>
        <stp/>
        <stp>BDP|6486278400725835393|22</stp>
        <stp>YACCO AB Equity</stp>
        <stp>BID</stp>
        <tr r="Q222" s="2"/>
      </tp>
      <tp>
        <v>548403</v>
        <stp/>
        <stp>BDP|5642153903304673149|22</stp>
        <stp>GACO AB Equity</stp>
        <stp>VOLUME</stp>
        <tr r="J142" s="2"/>
      </tp>
      <tp>
        <v>1.61</v>
        <stp/>
        <stp>BDP|2147106645635550065|22</stp>
        <stp>ALKATHIR AB Equity</stp>
        <stp>LAST_PRICE</stp>
        <tr r="C203" s="2"/>
        <tr r="B203" s="2"/>
      </tp>
      <tp>
        <v>155</v>
        <stp/>
        <stp>BDP|6398602486445168417|22</stp>
        <stp>JAMJOOMP AB Equity</stp>
        <stp>LAST_PRICE</stp>
        <tr r="C248" s="2"/>
        <tr r="B248" s="2"/>
      </tp>
      <tp>
        <v>51.55</v>
        <stp/>
        <stp>BDP|4398022974246135139|22</stp>
        <stp>SABIC AB Equity</stp>
        <stp>ASK</stp>
        <tr r="R228" s="2"/>
      </tp>
      <tp>
        <v>3.53</v>
        <stp/>
        <stp>BDP|17704890265924215863|22</stp>
        <stp>ARABSEA AB Equity</stp>
        <stp>YEST_LAST_TRADE</stp>
        <tr r="G272" s="2"/>
      </tp>
      <tp>
        <v>2.41</v>
        <stp/>
        <stp>BDP|7861824069165715939|22</stp>
        <stp>SIECO AB Equity</stp>
        <stp>LAST_PRICE</stp>
        <tr r="B29" s="2"/>
        <tr r="C29" s="2"/>
      </tp>
      <tp>
        <v>7.88</v>
        <stp/>
        <stp>BDP|3075199866877057278|22</stp>
        <stp>TACCO AB Equity</stp>
        <stp>LAST_PRICE</stp>
        <tr r="C212" s="2"/>
        <tr r="B212" s="2"/>
      </tp>
      <tp>
        <v>0.59759998321533203</v>
        <stp/>
        <stp>BDP|14936170026534089461|22</stp>
        <stp>RYDREIT AB Equity</stp>
        <stp>RT_PX_CHG_PCT_1D</stp>
        <tr r="D111" s="2"/>
      </tp>
      <tp>
        <v>12.85</v>
        <stp/>
        <stp>BDP|17089803017431284952|22</stp>
        <stp>SMARKETI AB Equity</stp>
        <stp>YEST_LAST_TRADE</stp>
        <tr r="G85" s="2"/>
      </tp>
      <tp>
        <v>7.7</v>
        <stp/>
        <stp>BDP|6550626252682234906|22</stp>
        <stp>MRNA AB Equity</stp>
        <stp>HIGH</stp>
        <tr r="M124" s="2"/>
      </tp>
      <tp>
        <v>194.5</v>
        <stp/>
        <stp>BDP|4632624430451651379|22</stp>
        <stp>ACWA AB Equity</stp>
        <stp>HIGH</stp>
        <tr r="M289" s="2"/>
      </tp>
      <tp>
        <v>0.71369999647140503</v>
        <stp/>
        <stp>BDP|16716485094299434453|22</stp>
        <stp>OBEKAN AB Equity</stp>
        <stp>RT_PX_CHG_PCT_1D</stp>
        <tr r="D24" s="2"/>
      </tp>
      <tp>
        <v>25.3597</v>
        <stp/>
        <stp>BDP|7509330158176707054|22</stp>
        <stp>UCIC AB Equity</stp>
        <stp>VWAP</stp>
        <tr r="N194" s="2"/>
      </tp>
      <tp>
        <v>16.945</v>
        <stp/>
        <stp>BDP|4985423847760015668|22</stp>
        <stp>SAIC AB Equity</stp>
        <stp>VWAP</stp>
        <tr r="N117" s="2"/>
      </tp>
      <tp>
        <v>13.42</v>
        <stp/>
        <stp>BDP|9691959958294618250|22</stp>
        <stp>SIIG AB Equity</stp>
        <stp>OPEN</stp>
        <tr r="K227" s="2"/>
      </tp>
      <tp>
        <v>5.16</v>
        <stp/>
        <stp>BDP|3826005939944972066|22</stp>
        <stp>JOUF AB Equity</stp>
        <stp>HIGH</stp>
        <tr r="M216" s="2"/>
      </tp>
      <tp>
        <v>2.7</v>
        <stp/>
        <stp>BDP|11721443087362345449|22</stp>
        <stp>SADR AB Equity</stp>
        <stp>LOW</stp>
        <tr r="L39" s="2"/>
      </tp>
      <tp>
        <v>15.1</v>
        <stp/>
        <stp>BDP|11592472556166106766|22</stp>
        <stp>MIAHONA AB Equity</stp>
        <stp>LAST_PRICE</stp>
        <tr r="B292" s="2"/>
        <tr r="C292" s="2"/>
      </tp>
      <tp>
        <v>-1.9522999999999999</v>
        <stp/>
        <stp>BDP|17317293866592230851|22</stp>
        <stp>NIC AB Equity</stp>
        <stp>CHG_PCT_YTD_RT</stp>
        <tr r="F224" s="2"/>
      </tp>
      <tp>
        <v>14.04</v>
        <stp/>
        <stp>BDP|16277516776643277694|22</stp>
        <stp>NICEONE AB Equity</stp>
        <stp>LAST_PRICE</stp>
        <tr r="B42" s="2"/>
        <tr r="C42" s="2"/>
      </tp>
      <tp>
        <v>10042157</v>
        <stp/>
        <stp>BDP|13793925023074163707|22</stp>
        <stp>EIC AB Equity</stp>
        <stp>VOLUME</stp>
        <tr r="J16" s="2"/>
      </tp>
      <tp>
        <v>15.64</v>
        <stp/>
        <stp>BDP|3696727287117943698|22</stp>
        <stp>YNCCO AB Equity</stp>
        <stp>BID</stp>
        <tr r="Q209" s="2"/>
      </tp>
      <tp>
        <v>30.32</v>
        <stp/>
        <stp>BDP|1760282266768248697|22</stp>
        <stp>SACCO AB Equity</stp>
        <stp>BID</stp>
        <tr r="Q229" s="2"/>
      </tp>
      <tp>
        <v>7.84</v>
        <stp/>
        <stp>BDP|7274790783200091352|22</stp>
        <stp>SEDCO AB Equity</stp>
        <stp>LOW</stp>
        <tr r="L99" s="2"/>
      </tp>
      <tp>
        <v>-4.5259</v>
        <stp/>
        <stp>BDP|6637741282906328509|22</stp>
        <stp>AICC AB Equity</stp>
        <stp>CHG_PCT_YTD_RT</stp>
        <tr r="F168" s="2"/>
      </tp>
      <tp>
        <v>43.24</v>
        <stp/>
        <stp>BDP|7475322325807351591|22</stp>
        <stp>STC AB Equity</stp>
        <stp>LAST_PRICE</stp>
        <tr r="B275" s="2"/>
        <tr r="C275" s="2"/>
      </tp>
      <tp>
        <v>232.8</v>
        <stp/>
        <stp>BDP|15121905738751369560|22</stp>
        <stp>MIS AB Equity</stp>
        <stp>BID</stp>
        <tr r="Q268" s="2"/>
      </tp>
      <tp>
        <v>13.26</v>
        <stp/>
        <stp>BDP|14714023051924707088|22</stp>
        <stp>GULFUNI AB Equity</stp>
        <stp>YEST_LAST_TRADE</stp>
        <tr r="G190" s="2"/>
      </tp>
      <tp>
        <v>-3.6442999999999999</v>
        <stp/>
        <stp>BDP|7480981197576026117|22</stp>
        <stp>MAHARAH AB Equity</stp>
        <stp>CHG_PCT_1M_RT</stp>
        <tr r="E34" s="2"/>
      </tp>
      <tp>
        <v>3.95</v>
        <stp/>
        <stp>BDP|17718911999071358616|22</stp>
        <stp>MUSHREIT AB Equity</stp>
        <stp>YEST_LAST_TRADE</stp>
        <tr r="G103" s="2"/>
      </tp>
      <tp>
        <v>1.6</v>
        <stp/>
        <stp>BDP|17880240010583082659|22</stp>
        <stp>ALKATHIR AB Equity</stp>
        <stp>YEST_LAST_TRADE</stp>
        <tr r="G203" s="2"/>
      </tp>
      <tp>
        <v>24.13</v>
        <stp/>
        <stp>BDP|2096738753559567727|22</stp>
        <stp>APPC AB Equity</stp>
        <stp>HIGH</stp>
        <tr r="M233" s="2"/>
      </tp>
      <tp>
        <v>218.30070000000001</v>
        <stp/>
        <stp>BDP|484394752895123665|22</stp>
        <stp>SADAFCO AB Equity</stp>
        <stp>VWAP</stp>
        <tr r="N134" s="2"/>
      </tp>
      <tp>
        <v>72</v>
        <stp/>
        <stp>BDP|2051053137659546149|22</stp>
        <stp>AMAK AB Equity</stp>
        <stp>HIGH</stp>
        <tr r="M196" s="2"/>
      </tp>
      <tp>
        <v>56.65</v>
        <stp/>
        <stp>BDP|11168201797995226818|22</stp>
        <stp>TANMIAH AB Equity</stp>
        <stp>LAST_PRICE</stp>
        <tr r="B146" s="2"/>
        <tr r="C146" s="2"/>
      </tp>
      <tp>
        <v>42</v>
        <stp/>
        <stp>BDP|17303240224186635672|22</stp>
        <stp>YAMAMAH AB Equity</stp>
        <stp>LAST_PRICE</stp>
        <tr r="B214" s="2"/>
        <tr r="C214" s="2"/>
      </tp>
      <tp>
        <v>-0.93830000000000002</v>
        <stp/>
        <stp>BDP|12431182904546998370|22</stp>
        <stp>NOFOTH AB Equity</stp>
        <stp>CHG_PCT_1M_RT</stp>
        <tr r="E148" s="2"/>
      </tp>
      <tp>
        <v>-8.3204999999999991</v>
        <stp/>
        <stp>BDP|15433214624575125253|22</stp>
        <stp>SCH AB Equity</stp>
        <stp>CHG_PCT_YTD_RT</stp>
        <tr r="F47" s="2"/>
      </tp>
      <tp>
        <v>0.59789997339248657</v>
        <stp/>
        <stp>BDP|6007180672049363661|22</stp>
        <stp>NORTHCEM AB Equity</stp>
        <stp>RT_PX_CHG_PCT_1D</stp>
        <tr r="D230" s="2"/>
      </tp>
      <tp>
        <v>2.5640999999999998</v>
        <stp/>
        <stp>BDP|10611642674297933305|22</stp>
        <stp>SHIELD AB Equity</stp>
        <stp>CHG_PCT_1M_RT</stp>
        <tr r="E174" s="2"/>
      </tp>
      <tp>
        <v>12.2818</v>
        <stp/>
        <stp>BDP|13356036134859139989|22</stp>
        <stp>SAL AB Equity</stp>
        <stp>CHG_PCT_YTD_RT</stp>
        <tr r="F282" s="2"/>
      </tp>
      <tp>
        <v>-26.9527</v>
        <stp/>
        <stp>BDP|16695139453124733039|22</stp>
        <stp>CGS AB Equity</stp>
        <stp>CHG_PCT_YTD_RT</stp>
        <tr r="F31" s="2"/>
      </tp>
      <tp>
        <v>13.44</v>
        <stp/>
        <stp>BDP|7677974981894858341|22</stp>
        <stp>JAHEZ AB Equity</stp>
        <stp>LOW</stp>
        <tr r="L62" s="2"/>
      </tp>
      <tp>
        <v>51.9</v>
        <stp/>
        <stp>BDP|7894300431763525410|22</stp>
        <stp>SARCO AB Equity</stp>
        <stp>LOW</stp>
        <tr r="L93" s="2"/>
      </tp>
      <tp>
        <v>17.809999999999999</v>
        <stp/>
        <stp>BDP|4497883757813831806|22</stp>
        <stp>MASAR AB Equity</stp>
        <stp>LOW</stp>
        <tr r="L253" s="2"/>
      </tp>
      <tp>
        <v>5.64</v>
        <stp/>
        <stp>BDP|7725025885584875411|22</stp>
        <stp>CMCER AB Equity</stp>
        <stp>BID</stp>
        <tr r="Q161" s="2"/>
      </tp>
      <tp>
        <v>3.45</v>
        <stp/>
        <stp>BDP|14204998135539999196|22</stp>
        <stp>UCA AB Equity</stp>
        <stp>HIGH</stp>
        <tr r="M181" s="2"/>
      </tp>
      <tp>
        <v>90.55</v>
        <stp/>
        <stp>BDP|2596971329033318805|22</stp>
        <stp>ARABIAND AB Equity</stp>
        <stp>LAST_PRICE</stp>
        <tr r="C91" s="2"/>
        <tr r="B91" s="2"/>
      </tp>
      <tp>
        <v>56.6</v>
        <stp/>
        <stp>BDP|11295738448151731741|22</stp>
        <stp>SPM AB Equity</stp>
        <stp>HIGH</stp>
        <tr r="M215" s="2"/>
      </tp>
      <tp>
        <v>-8.2486999999999995</v>
        <stp/>
        <stp>BDP|16675271965907038618|22</stp>
        <stp>EXTRA AB Equity</stp>
        <stp>CHG_PCT_1M_RT</stp>
        <tr r="E52" s="2"/>
      </tp>
      <tp>
        <v>20.8584</v>
        <stp/>
        <stp>BDP|11091250103004236556|22</stp>
        <stp>FIPCO AB Equity</stp>
        <stp>CHG_PCT_1M_RT</stp>
        <tr r="E232" s="2"/>
      </tp>
      <tp>
        <v>-4.1699000000000002</v>
        <stp/>
        <stp>BDP|15199176065735106977|22</stp>
        <stp>ENTAJ AB Equity</stp>
        <stp>CHG_PCT_1M_RT</stp>
        <tr r="E129" s="2"/>
      </tp>
      <tp>
        <v>42.98</v>
        <stp/>
        <stp>BDP|8344013285453930393|22</stp>
        <stp>SALEHALR AB Equity</stp>
        <stp>LAST_PRICE</stp>
        <tr r="C239" s="2"/>
        <tr r="B239" s="2"/>
      </tp>
      <tp>
        <v>123.8</v>
        <stp/>
        <stp>BDP|9342058185780985725|22</stp>
        <stp>SAFCO AB Equity</stp>
        <stp>ASK</stp>
        <tr r="R238" s="2"/>
      </tp>
      <tp>
        <v>1.0041</v>
        <stp/>
        <stp>BDP|6930386729916117015|22</stp>
        <stp>SAIC AB Equity</stp>
        <stp>CHG_PCT_YTD_RT</stp>
        <tr r="F117" s="2"/>
      </tp>
      <tp>
        <v>20.982099999999999</v>
        <stp/>
        <stp>BDP|11053326083441718154|22</stp>
        <stp>SARCO AB Equity</stp>
        <stp>CHG_PCT_1M_RT</stp>
        <tr r="E93" s="2"/>
      </tp>
      <tp>
        <v>21.42</v>
        <stp/>
        <stp>BDP|13154983433924103763|22</stp>
        <stp>AZM AB Equity</stp>
        <stp>BID</stp>
        <tr r="Q271" s="2"/>
      </tp>
      <tp>
        <v>-4.0445000000000002</v>
        <stp/>
        <stp>BDP|1502157919288688626|22</stp>
        <stp>MARAFIQ AB Equity</stp>
        <stp>CHG_PCT_1M_RT</stp>
        <tr r="E288" s="2"/>
      </tp>
      <tp>
        <v>-0.8499000072479248</v>
        <stp/>
        <stp>BDP|14310151207667157821|22</stp>
        <stp>YAMAMAH AB Equity</stp>
        <stp>RT_PX_CHG_PCT_1D</stp>
        <tr r="D214" s="2"/>
      </tp>
      <tp>
        <v>32.700000000000003</v>
        <stp/>
        <stp>BDP|17913692596025955392|22</stp>
        <stp>LUMI AB Equity</stp>
        <stp>BID</stp>
        <tr r="Q280" s="2"/>
      </tp>
      <tp>
        <v>9.9697999954223633</v>
        <stp/>
        <stp>BDP|12904146734433023688|22</stp>
        <stp>TAPRCO AB Equity</stp>
        <stp>RT_PX_CHG_PCT_1D</stp>
        <tr r="D241" s="2"/>
      </tp>
      <tp>
        <v>17.47</v>
        <stp/>
        <stp>BDP|7528175670844723538|22</stp>
        <stp>MEPC AB Equity</stp>
        <stp>OPEN</stp>
        <tr r="K197" s="2"/>
      </tp>
      <tp>
        <v>23.83</v>
        <stp/>
        <stp>BDP|13571947729303568188|22</stp>
        <stp>APPC AB Equity</stp>
        <stp>ASK</stp>
        <tr r="R233" s="2"/>
      </tp>
      <tp>
        <v>17.739999999999998</v>
        <stp/>
        <stp>BDP|1990812607375794499|22</stp>
        <stp>ADCO AB Equity</stp>
        <stp>OPEN</stp>
        <tr r="K260" s="2"/>
      </tp>
      <tp>
        <v>-1.7498</v>
        <stp/>
        <stp>BDP|15855805318863487269|22</stp>
        <stp>SAPTCO AB Equity</stp>
        <stp>CHG_PCT_1M_RT</stp>
        <tr r="E279" s="2"/>
      </tp>
      <tp t="s">
        <v>#N/A Requesting Data...3054628676</v>
        <stp/>
        <stp>BDP|17806957471881492219</stp>
        <tr r="P192" s="2"/>
      </tp>
      <tp t="s">
        <v>#N/A Requesting Data...3935362353</v>
        <stp/>
        <stp>BDP|11601110985895909726</stp>
        <tr r="I209" s="2"/>
      </tp>
      <tp t="s">
        <v>#N/A Requesting Data...2850485339</v>
        <stp/>
        <stp>BDP|11690689885556743354</stp>
        <tr r="T134" s="2"/>
      </tp>
      <tp t="s">
        <v>#N/A Requesting Data...3879972073</v>
        <stp/>
        <stp>BDP|14216229479402070914</stp>
        <tr r="O246" s="2"/>
      </tp>
      <tp t="s">
        <v>#N/A Requesting Data...4045655500</v>
        <stp/>
        <stp>BDP|11600938918366148542</stp>
        <tr r="I219" s="2"/>
      </tp>
      <tp t="s">
        <v>#N/A Requesting Data...4081794564</v>
        <stp/>
        <stp>BDP|16233103464533816869</stp>
        <tr r="H227" s="2"/>
      </tp>
      <tp t="s">
        <v>#N/A Requesting Data...3683935241</v>
        <stp/>
        <stp>BDP|18096728321546894139</stp>
        <tr r="H127" s="2"/>
      </tp>
      <tp>
        <v>23.34</v>
        <stp/>
        <stp>BDP|11170339536116738498|22</stp>
        <stp>SCH AB Equity</stp>
        <stp>OPEN</stp>
        <tr r="K47" s="2"/>
      </tp>
      <tp t="s">
        <v>#N/A Requesting Data...3510984168</v>
        <stp/>
        <stp>BDP|16866143003914295967</stp>
        <tr r="H196" s="2"/>
      </tp>
      <tp t="s">
        <v>#N/A Requesting Data...3284335801</v>
        <stp/>
        <stp>BDP|15879375524756351831</stp>
        <tr r="H81" s="2"/>
      </tp>
      <tp t="s">
        <v>#N/A Requesting Data...3997516421</v>
        <stp/>
        <stp>BDP|17608668791740851230</stp>
        <tr r="T243" s="2"/>
      </tp>
      <tp t="s">
        <v>#N/A Requesting Data...3976867447</v>
        <stp/>
        <stp>BDP|14363416409832628874</stp>
        <tr r="P193" s="2"/>
      </tp>
      <tp t="s">
        <v>#N/A Requesting Data...3315889067</v>
        <stp/>
        <stp>BDP|15269375442719966140</stp>
        <tr r="P222" s="2"/>
      </tp>
      <tp t="s">
        <v>#N/A Requesting Data...3623227139</v>
        <stp/>
        <stp>BDP|15848816476147313763</stp>
        <tr r="P196" s="2"/>
      </tp>
      <tp t="s">
        <v>#N/A Requesting Data...2957569313</v>
        <stp/>
        <stp>BDP|16531482531573246844</stp>
        <tr r="H272" s="2"/>
      </tp>
      <tp t="s">
        <v>#N/A Requesting Data...3768037557</v>
        <stp/>
        <stp>BDP|16852007210675099856</stp>
        <tr r="S219" s="2"/>
      </tp>
      <tp t="s">
        <v>#N/A Requesting Data...3648375516</v>
        <stp/>
        <stp>BDP|13713064899136295678</stp>
        <tr r="U192" s="2"/>
      </tp>
      <tp t="s">
        <v>#N/A Requesting Data...3395408754</v>
        <stp/>
        <stp>BDP|10034089986902783050</stp>
        <tr r="U30" s="2"/>
      </tp>
      <tp t="s">
        <v>#N/A Requesting Data...3008454382</v>
        <stp/>
        <stp>BDP|10006613849308494008</stp>
        <tr r="T15" s="2"/>
      </tp>
      <tp t="s">
        <v>#N/A Requesting Data...3663432294</v>
        <stp/>
        <stp>BDP|12741832375474625386</stp>
        <tr r="I43" s="2"/>
      </tp>
      <tp>
        <v>71</v>
        <stp/>
        <stp>BDP|1924355263081276558|22</stp>
        <stp>RESEARCH AB Equity</stp>
        <stp>LAST_PRICE</stp>
        <tr r="C242" s="2"/>
        <tr r="B242" s="2"/>
      </tp>
      <tp t="s">
        <v>#N/A Requesting Data...3646449268</v>
        <stp/>
        <stp>BDP|17620704498650760379</stp>
        <tr r="P221" s="2"/>
      </tp>
      <tp t="s">
        <v>#N/A Requesting Data...2933954502</v>
        <stp/>
        <stp>BDP|17039815416044107088</stp>
        <tr r="I286" s="2"/>
      </tp>
      <tp t="s">
        <v>#N/A Requesting Data...3605275506</v>
        <stp/>
        <stp>BDP|12881842486919142159</stp>
        <tr r="X272" s="2"/>
      </tp>
      <tp t="s">
        <v>#N/A Requesting Data...4106399539</v>
        <stp/>
        <stp>BDP|11015219895627530704</stp>
        <tr r="O74" s="2"/>
      </tp>
      <tp t="s">
        <v>#N/A Requesting Data...3468565017</v>
        <stp/>
        <stp>BDP|13255605114378669619</stp>
        <tr r="H100" s="2"/>
      </tp>
      <tp t="s">
        <v>#N/A Requesting Data...2899724157</v>
        <stp/>
        <stp>BDP|10117402192693578476</stp>
        <tr r="U112" s="2"/>
      </tp>
      <tp t="s">
        <v>#N/A Requesting Data...3344684719</v>
        <stp/>
        <stp>BDP|15107737981846370602</stp>
        <tr r="I40" s="2"/>
      </tp>
      <tp t="s">
        <v>#N/A Requesting Data...3195872981</v>
        <stp/>
        <stp>BDP|13432956635991166255</stp>
        <tr r="U282" s="2"/>
      </tp>
      <tp t="s">
        <v>#N/A Requesting Data...3068985714</v>
        <stp/>
        <stp>BDP|16415199593103767791</stp>
        <tr r="U182" s="2"/>
      </tp>
      <tp t="s">
        <v>#N/A Requesting Data...4256323788</v>
        <stp/>
        <stp>BDP|13896492765458617323</stp>
        <tr r="P124" s="2"/>
      </tp>
      <tp t="s">
        <v>#N/A Requesting Data...3135710920</v>
        <stp/>
        <stp>BDP|17637791031158903174</stp>
        <tr r="U50" s="2"/>
      </tp>
      <tp>
        <v>3.38</v>
        <stp/>
        <stp>BDP|2725245287305349196|22</stp>
        <stp>MEFIC AB Equity</stp>
        <stp>LOW</stp>
        <tr r="L108" s="2"/>
      </tp>
      <tp>
        <v>43.8</v>
        <stp/>
        <stp>BDP|14861213474116190239|22</stp>
        <stp>STC AB Equity</stp>
        <stp>OPEN</stp>
        <tr r="K275" s="2"/>
      </tp>
      <tp t="s">
        <v>#N/A Requesting Data...2978930335</v>
        <stp/>
        <stp>BDP|13052299963714949905</stp>
        <tr r="I255" s="2"/>
      </tp>
      <tp t="s">
        <v>#N/A Requesting Data...4045805036</v>
        <stp/>
        <stp>BDP|10792982940443516498</stp>
        <tr r="H69" s="2"/>
      </tp>
      <tp t="s">
        <v>#N/A Requesting Data...3622971104</v>
        <stp/>
        <stp>BDP|18171692209120743455</stp>
        <tr r="O237" s="2"/>
      </tp>
      <tp t="s">
        <v>#N/A Requesting Data...2977126627</v>
        <stp/>
        <stp>BDP|18222934156609482713</stp>
        <tr r="H243" s="2"/>
      </tp>
      <tp t="s">
        <v>#N/A Requesting Data...2825604817</v>
        <stp/>
        <stp>BDP|10622218381166613625</stp>
        <tr r="U292" s="2"/>
      </tp>
      <tp t="s">
        <v>#N/A Requesting Data...2695145493</v>
        <stp/>
        <stp>BDP|16171925745113387279</stp>
        <tr r="H99" s="2"/>
      </tp>
      <tp t="s">
        <v>#N/A Requesting Data...3336626902</v>
        <stp/>
        <stp>BDP|10676454883623763552</stp>
        <tr r="I147" s="2"/>
      </tp>
      <tp t="s">
        <v>#N/A Requesting Data...4263223896</v>
        <stp/>
        <stp>BDP|17421857138401222793</stp>
        <tr r="X207" s="2"/>
      </tp>
      <tp t="s">
        <v>#N/A Requesting Data...3140866184</v>
        <stp/>
        <stp>BDP|14452559252367293930</stp>
        <tr r="T257" s="2"/>
      </tp>
      <tp t="s">
        <v>#N/A Requesting Data...3987062801</v>
        <stp/>
        <stp>BDP|15819849322295381089</stp>
        <tr r="X43" s="2"/>
      </tp>
      <tp t="s">
        <v>#N/A Requesting Data...3383666730</v>
        <stp/>
        <stp>BDP|10380533924089643470</stp>
        <tr r="P7" s="2"/>
      </tp>
      <tp t="s">
        <v>#N/A Requesting Data...4037394954</v>
        <stp/>
        <stp>BDP|17158343462998291005</stp>
        <tr r="P208" s="2"/>
      </tp>
      <tp t="s">
        <v>#N/A Requesting Data...4019349250</v>
        <stp/>
        <stp>BDP|15760121007767636911</stp>
        <tr r="U193" s="2"/>
      </tp>
      <tp t="s">
        <v>#N/A Requesting Data...3999752377</v>
        <stp/>
        <stp>BDP|18071891497045297699</stp>
        <tr r="I120" s="2"/>
      </tp>
      <tp>
        <v>6.77</v>
        <stp/>
        <stp>BDP|3777515859691126312|22</stp>
        <stp>AMANA AB Equity</stp>
        <stp>LOW</stp>
        <tr r="L176" s="2"/>
      </tp>
      <tp t="s">
        <v>#N/A Requesting Data...3919077798</v>
        <stp/>
        <stp>BDP|10783423592065513262</stp>
        <tr r="O198" s="2"/>
      </tp>
      <tp t="s">
        <v>#N/A Requesting Data...4036404066</v>
        <stp/>
        <stp>BDP|13927444974653510982</stp>
        <tr r="X5" s="2"/>
      </tp>
      <tp t="s">
        <v>#N/A Requesting Data...3902724380</v>
        <stp/>
        <stp>BDP|12421065844754743856</stp>
        <tr r="U65" s="2"/>
      </tp>
      <tp t="s">
        <v>#N/A Requesting Data...3562079222</v>
        <stp/>
        <stp>BDP|18331603616720268530</stp>
        <tr r="U160" s="2"/>
      </tp>
      <tp t="s">
        <v>#N/A Requesting Data...3226433563</v>
        <stp/>
        <stp>BDP|15142869675262368258</stp>
        <tr r="U45" s="2"/>
      </tp>
      <tp t="s">
        <v>#N/A Requesting Data...3819665791</v>
        <stp/>
        <stp>BDP|10465709800544551959</stp>
        <tr r="T280" s="2"/>
      </tp>
      <tp t="s">
        <v>#N/A Requesting Data...3458450479</v>
        <stp/>
        <stp>BDP|11388855663697388215</stp>
        <tr r="O182" s="2"/>
      </tp>
      <tp t="s">
        <v>#N/A Requesting Data...4210726461</v>
        <stp/>
        <stp>BDP|18331424873050674128</stp>
        <tr r="X55" s="2"/>
      </tp>
      <tp t="s">
        <v>#N/A Requesting Data...3939596474</v>
        <stp/>
        <stp>BDP|12051917403520152152</stp>
        <tr r="O185" s="2"/>
      </tp>
      <tp>
        <v>90.35</v>
        <stp/>
        <stp>BDP|17031652210197512845|22</stp>
        <stp>EAT AB Equity</stp>
        <stp>OPEN</stp>
        <tr r="K277" s="2"/>
      </tp>
      <tp t="s">
        <v>#N/A N/A</v>
        <stp/>
        <stp>BDH|14353513896947042579</stp>
        <tr r="V87" s="2"/>
      </tp>
      <tp t="s">
        <v>#N/A N/A</v>
        <stp/>
        <stp>BDH|12395903601557063600</stp>
        <tr r="V262" s="2"/>
      </tp>
      <tp>
        <v>72.099999999999994</v>
        <stp/>
        <stp>BDP|5755631809768601122|22</stp>
        <stp>EXTRA AB Equity</stp>
        <stp>BID</stp>
        <tr r="Q52" s="2"/>
      </tp>
      <tp>
        <v>-12.825699999999999</v>
        <stp/>
        <stp>BDP|9814501434482546835|22</stp>
        <stp>ALDAWAA AB Equity</stp>
        <stp>CHG_PCT_YTD_RT</stp>
        <tr r="F81" s="2"/>
      </tp>
      <tp>
        <v>-0.87490000000000001</v>
        <stp/>
        <stp>BDP|2829888979540794577|22</stp>
        <stp>TANMIAH AB Equity</stp>
        <stp>CHG_PCT_YTD_RT</stp>
        <tr r="F146" s="2"/>
      </tp>
      <tp>
        <v>24.24</v>
        <stp/>
        <stp>BDP|7646253378136150950|22</stp>
        <stp>BCI AB Equity</stp>
        <stp>LAST_PRICE</stp>
        <tr r="B201" s="2"/>
        <tr r="C201" s="2"/>
      </tp>
      <tp t="s">
        <v>#N/A N/A</v>
        <stp/>
        <stp>BDH|14546838474661291068</stp>
        <tr r="V214" s="2"/>
      </tp>
      <tp t="s">
        <v>#N/A N/A</v>
        <stp/>
        <stp>BDH|14267843167137884701</stp>
        <tr r="V180" s="2"/>
      </tp>
      <tp t="s">
        <v>#N/A N/A</v>
        <stp/>
        <stp>BDH|10968994725752882364</stp>
        <tr r="V106" s="2"/>
      </tp>
      <tp>
        <v>-4.3613999999999997</v>
        <stp/>
        <stp>BDP|15373742031118333052|22</stp>
        <stp>BANAN AB Equity</stp>
        <stp>CHG_PCT_1M_RT</stp>
        <tr r="E256" s="2"/>
      </tp>
      <tp t="s">
        <v>#N/A N/A</v>
        <stp/>
        <stp>BDH|15104610527118890306</stp>
        <tr r="V165" s="2"/>
      </tp>
      <tp>
        <v>7.44</v>
        <stp/>
        <stp>BDP|8143669945573010623|22</stp>
        <stp>AMANA AB Equity</stp>
        <stp>ASK</stp>
        <tr r="R176" s="2"/>
      </tp>
      <tp>
        <v>178.7</v>
        <stp/>
        <stp>BDP|10999118751743756432|22</stp>
        <stp>SAL AB Equity</stp>
        <stp>BID</stp>
        <tr r="Q282" s="2"/>
      </tp>
      <tp>
        <v>0.52789998054504395</v>
        <stp/>
        <stp>BDP|10647163089353994949|22</stp>
        <stp>GULFUNI AB Equity</stp>
        <stp>RT_PX_CHG_PCT_1D</stp>
        <tr r="D190" s="2"/>
      </tp>
      <tp>
        <v>21.58</v>
        <stp/>
        <stp>BDP|12746950374393175184|22</stp>
        <stp>AZM AB Equity</stp>
        <stp>ASK</stp>
        <tr r="R271" s="2"/>
      </tp>
      <tp>
        <v>0.55869999999999997</v>
        <stp/>
        <stp>BDP|8350375779263565587|22</stp>
        <stp>MAATHER AB Equity</stp>
        <stp>CHG_PCT_1M_RT</stp>
        <tr r="E106" s="2"/>
      </tp>
      <tp>
        <v>-3.5760000000000001</v>
        <stp/>
        <stp>BDP|2260979728043920570|22</stp>
        <stp>MIAHONA AB Equity</stp>
        <stp>CHG_PCT_1M_RT</stp>
        <tr r="E292" s="2"/>
      </tp>
      <tp>
        <v>13.41</v>
        <stp/>
        <stp>BDP|16117522843288297560|22</stp>
        <stp>SIIG AB Equity</stp>
        <stp>ASK</stp>
        <tr r="R227" s="2"/>
      </tp>
      <tp>
        <v>128.9</v>
        <stp/>
        <stp>BDP|10107278736513237257|22</stp>
        <stp>NCLE AB Equity</stp>
        <stp>BID</stp>
        <tr r="Q65" s="2"/>
      </tp>
      <tp>
        <v>12.53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71.2</v>
        <stp/>
        <stp>BDP|15016381139563664894|22</stp>
        <stp>AMAK AB Equity</stp>
        <stp>BID</stp>
        <tr r="Q196" s="2"/>
      </tp>
      <tp>
        <v>173</v>
        <stp/>
        <stp>BDP|14479213992456577334|22</stp>
        <stp>BUPA AB Equity</stp>
        <stp>LOW</stp>
        <tr r="L188" s="2"/>
      </tp>
      <tp>
        <v>12.89</v>
        <stp/>
        <stp>BDP|6228717641982144492|22</stp>
        <stp>GACO AB Equity</stp>
        <stp>OPEN</stp>
        <tr r="K142" s="2"/>
      </tp>
      <tp>
        <v>12.39</v>
        <stp/>
        <stp>BDP|5645470908527277590|22</stp>
        <stp>LIVA AB Equity</stp>
        <stp>OPEN</stp>
        <tr r="K173" s="2"/>
      </tp>
      <tp>
        <v>34.5</v>
        <stp/>
        <stp>BDP|7471963655049105765|22</stp>
        <stp>ZIIC AB Equity</stp>
        <stp>HIGH</stp>
        <tr r="M221" s="2"/>
      </tp>
      <tp>
        <v>17</v>
        <stp/>
        <stp>BDP|18322484695171993655|22</stp>
        <stp>CENOMICE AB Equity</stp>
        <stp>YEST_LAST_TRADE</stp>
        <tr r="G259" s="2"/>
      </tp>
      <tp>
        <v>129</v>
        <stp/>
        <stp>BDP|8550538890278374096|22</stp>
        <stp>NCLE AB Equity</stp>
        <stp>OPEN</stp>
        <tr r="K65" s="2"/>
      </tp>
      <tp>
        <v>0.54390000000000005</v>
        <stp/>
        <stp>BDP|759362515269743390|22</stp>
        <stp>ALBABTAI AB Equity</stp>
        <stp>CHG_PCT_YTD_RT</stp>
        <tr r="F15" s="2"/>
      </tp>
      <tp t="s">
        <v>#N/A Requesting Data...3842689041</v>
        <stp/>
        <stp>BDP|18228494927553386661</stp>
        <tr r="X93" s="2"/>
      </tp>
      <tp t="s">
        <v>#N/A Requesting Data...4108131474</v>
        <stp/>
        <stp>BDP|12870254174859150517</stp>
        <tr r="S77" s="2"/>
      </tp>
      <tp t="s">
        <v>#N/A Requesting Data...3060600217</v>
        <stp/>
        <stp>BDP|16799728866959964537</stp>
        <tr r="X234" s="2"/>
      </tp>
      <tp t="s">
        <v>#N/A Requesting Data...4133238826</v>
        <stp/>
        <stp>BDP|17485960928091416676</stp>
        <tr r="H10" s="2"/>
      </tp>
      <tp t="s">
        <v>#N/A Requesting Data...3144436410</v>
        <stp/>
        <stp>BDP|13342790873278111019</stp>
        <tr r="I184" s="2"/>
      </tp>
      <tp t="s">
        <v>#N/A Requesting Data...3325369100</v>
        <stp/>
        <stp>BDP|16471958679026034512</stp>
        <tr r="S270" s="2"/>
      </tp>
      <tp t="s">
        <v>#N/A Requesting Data...4266452343</v>
        <stp/>
        <stp>BDP|17873632291894781744</stp>
        <tr r="S256" s="2"/>
      </tp>
      <tp t="s">
        <v>#N/A Requesting Data...3337292860</v>
        <stp/>
        <stp>BDP|13619808823507531585</stp>
        <tr r="S99" s="2"/>
      </tp>
      <tp t="s">
        <v>#N/A Requesting Data...3664241339</v>
        <stp/>
        <stp>BDP|17978350597813353502</stp>
        <tr r="P233" s="2"/>
      </tp>
      <tp t="s">
        <v>#N/A Requesting Data...3982420536</v>
        <stp/>
        <stp>BDP|11990221652334617972</stp>
        <tr r="T135" s="2"/>
      </tp>
      <tp t="s">
        <v>#N/A Requesting Data...4132550059</v>
        <stp/>
        <stp>BDP|13001974928816011572</stp>
        <tr r="P11" s="2"/>
      </tp>
      <tp t="s">
        <v>#N/A Requesting Data...3104665031</v>
        <stp/>
        <stp>BDP|14445185146998177230</stp>
        <tr r="H210" s="2"/>
      </tp>
      <tp t="s">
        <v>#N/A Requesting Data...3184369297</v>
        <stp/>
        <stp>BDP|14284043300586614983</stp>
        <tr r="I211" s="2"/>
      </tp>
      <tp t="s">
        <v>#N/A Requesting Data...3770950150</v>
        <stp/>
        <stp>BDP|14909566520050645812</stp>
        <tr r="P223" s="2"/>
      </tp>
      <tp t="s">
        <v>#N/A Requesting Data...3575339613</v>
        <stp/>
        <stp>BDP|16053280567109441034</stp>
        <tr r="T152" s="2"/>
      </tp>
      <tp>
        <v>-4.5999999999999996</v>
        <stp/>
        <stp>BDP|4479173785168780077|22</stp>
        <stp>SIPCHEM AB Equity</stp>
        <stp>CHG_PCT_YTD_RT</stp>
        <tr r="F236" s="2"/>
      </tp>
      <tp t="s">
        <v>#N/A Requesting Data...3117170610</v>
        <stp/>
        <stp>BDP|13595498180233355744</stp>
        <tr r="O20" s="2"/>
      </tp>
      <tp t="s">
        <v>#N/A Requesting Data...3403236617</v>
        <stp/>
        <stp>BDP|10631335196877961619</stp>
        <tr r="X124" s="2"/>
      </tp>
      <tp t="s">
        <v>#N/A Requesting Data...3514631317</v>
        <stp/>
        <stp>BDP|12733292067034117937</stp>
        <tr r="H270" s="2"/>
      </tp>
      <tp t="s">
        <v>#N/A Requesting Data...4130954475</v>
        <stp/>
        <stp>BDP|10212299881831723066</stp>
        <tr r="X31" s="2"/>
      </tp>
      <tp t="s">
        <v>#N/A Requesting Data...3736313574</v>
        <stp/>
        <stp>BDP|10148854944392211580</stp>
        <tr r="S165" s="2"/>
      </tp>
      <tp t="s">
        <v>#N/A Requesting Data...2881961395</v>
        <stp/>
        <stp>BDP|16587969428365905384</stp>
        <tr r="S269" s="2"/>
      </tp>
      <tp t="s">
        <v>#N/A Requesting Data...3888857139</v>
        <stp/>
        <stp>BDP|11075648717705776897</stp>
        <tr r="T32" s="2"/>
      </tp>
      <tp t="s">
        <v>#N/A Requesting Data...3049973705</v>
        <stp/>
        <stp>BDP|11336732204598936506</stp>
        <tr r="P139" s="2"/>
      </tp>
      <tp t="s">
        <v>#N/A Requesting Data...3543496233</v>
        <stp/>
        <stp>BDP|14906409797956512466</stp>
        <tr r="I280" s="2"/>
      </tp>
      <tp t="s">
        <v>#N/A Requesting Data...3659962659</v>
        <stp/>
        <stp>BDP|13927181850608805441</stp>
        <tr r="H168" s="2"/>
      </tp>
      <tp t="s">
        <v>#N/A Requesting Data...3725907474</v>
        <stp/>
        <stp>BDP|17105976048336084711</stp>
        <tr r="T221" s="2"/>
      </tp>
      <tp t="s">
        <v>#N/A Requesting Data...3961209626</v>
        <stp/>
        <stp>BDP|14837505023550265867</stp>
        <tr r="X284" s="2"/>
      </tp>
      <tp t="s">
        <v>#N/A Requesting Data...3145552873</v>
        <stp/>
        <stp>BDP|10402986950632639548</stp>
        <tr r="X188" s="2"/>
      </tp>
      <tp t="s">
        <v>#N/A Requesting Data...3898601704</v>
        <stp/>
        <stp>BDP|14650249059740625832</stp>
        <tr r="O13" s="2"/>
      </tp>
      <tp t="s">
        <v>#N/A Requesting Data...2964923087</v>
        <stp/>
        <stp>BDP|15404546620851603880</stp>
        <tr r="U23" s="2"/>
      </tp>
      <tp t="s">
        <v>#N/A Requesting Data...3504595110</v>
        <stp/>
        <stp>BDP|15507432203093841937</stp>
        <tr r="X121" s="2"/>
      </tp>
      <tp t="s">
        <v>#N/A Requesting Data...3464115799</v>
        <stp/>
        <stp>BDP|17629984777963585127</stp>
        <tr r="S166" s="2"/>
      </tp>
      <tp t="s">
        <v>#N/A Requesting Data...3166836124</v>
        <stp/>
        <stp>BDP|16292707179184498916</stp>
        <tr r="X205" s="2"/>
      </tp>
      <tp t="s">
        <v>#N/A Requesting Data...2827226219</v>
        <stp/>
        <stp>BDP|13829093928683473935</stp>
        <tr r="O119" s="2"/>
      </tp>
      <tp t="s">
        <v>#N/A Requesting Data...4023637684</v>
        <stp/>
        <stp>BDP|10524061046206718937</stp>
        <tr r="S234" s="2"/>
      </tp>
      <tp t="s">
        <v>#N/A Requesting Data...3280986035</v>
        <stp/>
        <stp>BDP|17197474823278791231</stp>
        <tr r="P48" s="2"/>
      </tp>
      <tp t="s">
        <v>#N/A Requesting Data...3881421220</v>
        <stp/>
        <stp>BDP|11075046927100448863</stp>
        <tr r="O84" s="2"/>
      </tp>
      <tp t="s">
        <v>#N/A Requesting Data...4058147747</v>
        <stp/>
        <stp>BDP|12656668730614851882</stp>
        <tr r="T201" s="2"/>
      </tp>
      <tp t="s">
        <v>#N/A Requesting Data...3651145251</v>
        <stp/>
        <stp>BDP|17027909800520161519</stp>
        <tr r="U148" s="2"/>
      </tp>
      <tp t="s">
        <v>#N/A Requesting Data...4135537072</v>
        <stp/>
        <stp>BDP|14131960617776343137</stp>
        <tr r="O286" s="2"/>
      </tp>
      <tp t="s">
        <v>#N/A Requesting Data...3152096372</v>
        <stp/>
        <stp>BDP|17321804623322658464</stp>
        <tr r="I128" s="2"/>
      </tp>
      <tp t="s">
        <v>#N/A Requesting Data...3972224388</v>
        <stp/>
        <stp>BDP|18261625338801201793</stp>
        <tr r="P128" s="2"/>
      </tp>
      <tp t="s">
        <v>#N/A Requesting Data...3757136065</v>
        <stp/>
        <stp>BDP|10415871021871310026</stp>
        <tr r="P166" s="2"/>
      </tp>
      <tp t="s">
        <v>#N/A Requesting Data...3949286245</v>
        <stp/>
        <stp>BDP|17580574160788583744</stp>
        <tr r="T229" s="2"/>
      </tp>
      <tp t="s">
        <v>#N/A Requesting Data...4189767102</v>
        <stp/>
        <stp>BDP|10750814217281312301</stp>
        <tr r="P22" s="2"/>
      </tp>
      <tp t="s">
        <v>#N/A Requesting Data...3057756116</v>
        <stp/>
        <stp>BDP|17106954267230594339</stp>
        <tr r="H226" s="2"/>
      </tp>
      <tp t="s">
        <v>#N/A Requesting Data...3805439537</v>
        <stp/>
        <stp>BDP|13877100358859737528</stp>
        <tr r="I114" s="2"/>
      </tp>
      <tp t="s">
        <v>#N/A Requesting Data...2884530428</v>
        <stp/>
        <stp>BDP|11094225384726553675</stp>
        <tr r="S29" s="2"/>
      </tp>
      <tp t="s">
        <v>#N/A Requesting Data...3269377045</v>
        <stp/>
        <stp>BDP|12463541689116991240</stp>
        <tr r="U89" s="2"/>
      </tp>
      <tp t="s">
        <v>#N/A Requesting Data...3991908252</v>
        <stp/>
        <stp>BDP|11501294677058721786</stp>
        <tr r="H198" s="2"/>
      </tp>
      <tp t="s">
        <v>#N/A Requesting Data...3485158758</v>
        <stp/>
        <stp>BDP|14268804744834754764</stp>
        <tr r="T247" s="2"/>
      </tp>
      <tp t="s">
        <v>#N/A Requesting Data...2994571172</v>
        <stp/>
        <stp>BDP|18084028301863077041</stp>
        <tr r="AA3" s="2"/>
      </tp>
      <tp t="s">
        <v>#N/A Requesting Data...3528673354</v>
        <stp/>
        <stp>BDP|10808482237414205827</stp>
        <tr r="X158" s="2"/>
      </tp>
      <tp t="s">
        <v>#N/A Requesting Data...3677675981</v>
        <stp/>
        <stp>BDP|11047083344437225994</stp>
        <tr r="X152" s="2"/>
      </tp>
      <tp t="s">
        <v>#N/A Requesting Data...3660277240</v>
        <stp/>
        <stp>BDP|14542918514677374054</stp>
        <tr r="U131" s="2"/>
      </tp>
      <tp t="s">
        <v>#N/A Requesting Data...3046920759</v>
        <stp/>
        <stp>BDP|12022192245745249980</stp>
        <tr r="X71" s="2"/>
      </tp>
      <tp t="s">
        <v>#N/A Requesting Data...3518203603</v>
        <stp/>
        <stp>BDP|14897043160201298882</stp>
        <tr r="S289" s="2"/>
      </tp>
      <tp t="s">
        <v>#N/A N/A</v>
        <stp/>
        <stp>BDH|13355658534414442972</stp>
        <tr r="V263" s="2"/>
      </tp>
      <tp t="s">
        <v>#N/A N/A</v>
        <stp/>
        <stp>BDH|16710631086385025624</stp>
        <tr r="V39" s="2"/>
      </tp>
      <tp t="s">
        <v>#N/A N/A</v>
        <stp/>
        <stp>BDH|17667710185003161009</stp>
        <tr r="V203" s="2"/>
      </tp>
      <tp t="s">
        <v>#N/A N/A</v>
        <stp/>
        <stp>BDH|17060745205969391206</stp>
        <tr r="V152" s="2"/>
      </tp>
      <tp t="s">
        <v>#N/A N/A</v>
        <stp/>
        <stp>BDH|14639253968269954203</stp>
        <tr r="V22" s="2"/>
      </tp>
      <tp>
        <v>-9.0281000000000002</v>
        <stp/>
        <stp>BDP|17420176658437894550|22</stp>
        <stp>TAIBA AB Equity</stp>
        <stp>CHG_PCT_1M_RT</stp>
        <tr r="E264" s="2"/>
      </tp>
      <tp t="s">
        <v>#N/A N/A</v>
        <stp/>
        <stp>BDH|17251613257457984893</stp>
        <tr r="V43" s="2"/>
      </tp>
      <tp t="s">
        <v>#N/A N/A</v>
        <stp/>
        <stp>BDH|10996082781271194262</stp>
        <tr r="V124" s="2"/>
      </tp>
      <tp t="s">
        <v>#N/A N/A</v>
        <stp/>
        <stp>BDH|18018482135633363766</stp>
        <tr r="V154" s="2"/>
      </tp>
      <tp>
        <v>2.71</v>
        <stp/>
        <stp>BDP|212373803144461538|22</stp>
        <stp>SADR AB Equity</stp>
        <stp>YEST_LAST_TRADE</stp>
        <tr r="G39" s="2"/>
      </tp>
      <tp>
        <v>2.4700000000000002</v>
        <stp/>
        <stp>BDP|9381664160710113777|22</stp>
        <stp>AHFCO AB Equity</stp>
        <stp>ASK</stp>
        <tr r="R60" s="2"/>
      </tp>
      <tp t="s">
        <v>#N/A N/A</v>
        <stp/>
        <stp>BDH|11152815899833584860</stp>
        <tr r="V85" s="2"/>
      </tp>
      <tp t="s">
        <v>#N/A N/A</v>
        <stp/>
        <stp>BDH|16070909706096241296</stp>
        <tr r="V196" s="2"/>
      </tp>
      <tp t="s">
        <v>#N/A N/A</v>
        <stp/>
        <stp>BDH|14835930680569509730</stp>
        <tr r="V13" s="2"/>
      </tp>
      <tp t="s">
        <v>#N/A N/A</v>
        <stp/>
        <stp>BDH|11822373016371418931</stp>
        <tr r="V182" s="2"/>
      </tp>
      <tp>
        <v>13.57</v>
        <stp/>
        <stp>BDP|16841833900531290461|22</stp>
        <stp>EIC AB Equity</stp>
        <stp>LOW</stp>
        <tr r="L16" s="2"/>
      </tp>
      <tp>
        <v>60.45</v>
        <stp/>
        <stp>BDP|10510003800443505118|22</stp>
        <stp>EEC AB Equity</stp>
        <stp>BID</stp>
        <tr r="Q274" s="2"/>
      </tp>
      <tp>
        <v>0.28389999270439148</v>
        <stp/>
        <stp>BDP|14599867728937830938|22</stp>
        <stp>SPIMACO AB Equity</stp>
        <stp>RT_PX_CHG_PCT_1D</stp>
        <tr r="D246" s="2"/>
      </tp>
      <tp>
        <v>7.6360000000000001</v>
        <stp/>
        <stp>BDP|6229710524439613708|22</stp>
        <stp>MRNA AB Equity</stp>
        <stp>VWAP</stp>
        <tr r="N124" s="2"/>
      </tp>
      <tp>
        <v>19.98</v>
        <stp/>
        <stp>BDP|17179752593608354086|22</stp>
        <stp>RIBL AB Equity</stp>
        <stp>ASK</stp>
        <tr r="R9" s="2"/>
      </tp>
      <tp>
        <v>20.239999999999998</v>
        <stp/>
        <stp>BDP|3583465834816596939|22</stp>
        <stp>SVCP AB Equity</stp>
        <stp>HIGH</stp>
        <tr r="M202" s="2"/>
      </tp>
      <tp>
        <v>20.74</v>
        <stp/>
        <stp>BDP|13357493477805046527|22</stp>
        <stp>ARNB AB Equity</stp>
        <stp>BID</stp>
        <tr r="Q8" s="2"/>
      </tp>
      <tp>
        <v>13.22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6" s="2"/>
      </tp>
      <tp>
        <v>13.33</v>
        <stp/>
        <stp>BDP|11994095438351429865|22</stp>
        <stp>SIIG AB Equity</stp>
        <stp>BID</stp>
        <tr r="Q227" s="2"/>
      </tp>
      <tp>
        <v>24.44</v>
        <stp/>
        <stp>BDP|15365086116831668457|22</stp>
        <stp>ALINMA AB Equity</stp>
        <stp>LAST_PRICE</stp>
        <tr r="B4" s="2"/>
        <tr r="C4" s="2"/>
      </tp>
      <tp t="s">
        <v>#N/A Requesting Data...3177029069</v>
        <stp/>
        <stp>BDP|14393113669462634940</stp>
        <tr r="X201" s="2"/>
      </tp>
      <tp t="s">
        <v>#N/A Requesting Data...3957152448</v>
        <stp/>
        <stp>BDP|12813262496312870397</stp>
        <tr r="X289" s="2"/>
      </tp>
      <tp t="s">
        <v>#N/A Requesting Data...3597703706</v>
        <stp/>
        <stp>BDP|12205248722692939849</stp>
        <tr r="S8" s="2"/>
      </tp>
      <tp t="s">
        <v>#N/A Requesting Data...3736770569</v>
        <stp/>
        <stp>BDP|11503588682646289255</stp>
        <tr r="U207" s="2"/>
      </tp>
      <tp t="s">
        <v>#N/A Requesting Data...3664349461</v>
        <stp/>
        <stp>BDP|14387991444242737323</stp>
        <tr r="P76" s="2"/>
      </tp>
      <tp t="s">
        <v>#N/A Requesting Data...4208840249</v>
        <stp/>
        <stp>BDP|16889875100944570219</stp>
        <tr r="O64" s="2"/>
      </tp>
      <tp t="s">
        <v>#N/A Requesting Data...3261793750</v>
        <stp/>
        <stp>BDP|15516760074479949453</stp>
        <tr r="S285" s="2"/>
      </tp>
      <tp t="s">
        <v>#N/A Requesting Data...3841702911</v>
        <stp/>
        <stp>BDP|13619872369033146627</stp>
        <tr r="I145" s="2"/>
      </tp>
      <tp t="s">
        <v>#N/A Requesting Data...3154171635</v>
        <stp/>
        <stp>BDP|11600408798640123449</stp>
        <tr r="U102" s="2"/>
      </tp>
      <tp t="s">
        <v>#N/A Requesting Data...4033631442</v>
        <stp/>
        <stp>BDP|10509163987380800169</stp>
        <tr r="H238" s="2"/>
      </tp>
      <tp t="s">
        <v>#N/A Requesting Data...4157808813</v>
        <stp/>
        <stp>BDP|12467328989137558603</stp>
        <tr r="X147" s="2"/>
      </tp>
      <tp t="s">
        <v>#N/A Requesting Data...3535040405</v>
        <stp/>
        <stp>BDP|17700898030511537565</stp>
        <tr r="S186" s="2"/>
      </tp>
      <tp t="s">
        <v>#N/A Requesting Data...3356436892</v>
        <stp/>
        <stp>BDP|18317423469650094255</stp>
        <tr r="O98" s="2"/>
      </tp>
      <tp t="s">
        <v>#N/A Requesting Data...4223632601</v>
        <stp/>
        <stp>BDP|14976069810089694444</stp>
        <tr r="T19" s="2"/>
      </tp>
      <tp>
        <v>44.66</v>
        <stp/>
        <stp>BDP|5387226835651715742|22</stp>
        <stp>BUILDSTA AB Equity</stp>
        <stp>LAST_PRICE</stp>
        <tr r="C44" s="2"/>
        <tr r="B44" s="2"/>
      </tp>
      <tp t="s">
        <v>#N/A Requesting Data...3266370466</v>
        <stp/>
        <stp>BDP|10933305047607216811</stp>
        <tr r="I106" s="2"/>
      </tp>
      <tp t="s">
        <v>#N/A Requesting Data...4103843460</v>
        <stp/>
        <stp>BDP|10350920513123668395</stp>
        <tr r="P298" s="2"/>
      </tp>
      <tp t="s">
        <v>#N/A Requesting Data...3019937886</v>
        <stp/>
        <stp>BDP|14449039849901175939</stp>
        <tr r="P157" s="2"/>
      </tp>
      <tp t="s">
        <v>#N/A Requesting Data...3925718202</v>
        <stp/>
        <stp>BDP|17750959388576159870</stp>
        <tr r="P18" s="2"/>
      </tp>
      <tp t="s">
        <v>#N/A Requesting Data...2985418760</v>
        <stp/>
        <stp>BDP|18021802038318775336</stp>
        <tr r="O167" s="2"/>
      </tp>
      <tp t="s">
        <v>#N/A Requesting Data...3096425245</v>
        <stp/>
        <stp>BDP|16583112619478038618</stp>
        <tr r="H141" s="2"/>
      </tp>
      <tp t="s">
        <v>#N/A Requesting Data...3653005664</v>
        <stp/>
        <stp>BDP|10120895600552715236</stp>
        <tr r="H244" s="2"/>
      </tp>
      <tp t="s">
        <v>#N/A Requesting Data...3348739038</v>
        <stp/>
        <stp>BDP|17714798386725473533</stp>
        <tr r="S96" s="2"/>
      </tp>
      <tp t="s">
        <v>#N/A Requesting Data...3129207084</v>
        <stp/>
        <stp>BDP|16151254616225456899</stp>
        <tr r="S97" s="2"/>
      </tp>
      <tp t="s">
        <v>#N/A Requesting Data...3572667054</v>
        <stp/>
        <stp>BDP|16323999687087790847</stp>
        <tr r="H284" s="2"/>
      </tp>
      <tp t="s">
        <v>#N/A Requesting Data...3166251187</v>
        <stp/>
        <stp>BDP|12762530085720294721</stp>
        <tr r="P135" s="2"/>
      </tp>
      <tp t="s">
        <v>#N/A Requesting Data...3264832171</v>
        <stp/>
        <stp>BDP|12241965145691235622</stp>
        <tr r="H241" s="2"/>
      </tp>
      <tp t="s">
        <v>#N/A Requesting Data...3952050124</v>
        <stp/>
        <stp>BDP|15464505770187280861</stp>
        <tr r="X170" s="2"/>
      </tp>
      <tp t="s">
        <v>#N/A Requesting Data...4112553345</v>
        <stp/>
        <stp>BDP|17911865969315579439</stp>
        <tr r="T168" s="2"/>
      </tp>
      <tp t="s">
        <v>#N/A Requesting Data...3970857263</v>
        <stp/>
        <stp>BDP|10998068526198176289</stp>
        <tr r="H8" s="2"/>
      </tp>
      <tp t="s">
        <v>#N/A Requesting Data...3045328860</v>
        <stp/>
        <stp>BDP|11749804583178399174</stp>
        <tr r="O63" s="2"/>
      </tp>
      <tp t="s">
        <v>#N/A Requesting Data...3505874735</v>
        <stp/>
        <stp>BDP|10461054151125313837</stp>
        <tr r="S262" s="2"/>
      </tp>
      <tp t="s">
        <v>#N/A Requesting Data...3055179609</v>
        <stp/>
        <stp>BDP|13730943131280708157</stp>
        <tr r="P201" s="2"/>
      </tp>
      <tp t="s">
        <v>#N/A Requesting Data...3078906405</v>
        <stp/>
        <stp>BDP|10694984401452595393</stp>
        <tr r="H21" s="2"/>
      </tp>
      <tp t="s">
        <v>#N/A Requesting Data...4253881714</v>
        <stp/>
        <stp>BDP|14780040596706749319</stp>
        <tr r="U256" s="2"/>
      </tp>
      <tp t="s">
        <v>#N/A Requesting Data...3130982998</v>
        <stp/>
        <stp>BDP|12542822928426542697</stp>
        <tr r="P67" s="2"/>
      </tp>
      <tp t="s">
        <v>#N/A Requesting Data...4215818583</v>
        <stp/>
        <stp>BDP|11609958386319125162</stp>
        <tr r="I134" s="2"/>
      </tp>
      <tp t="s">
        <v>#N/A Requesting Data...3327439630</v>
        <stp/>
        <stp>BDP|14072900577930510202</stp>
        <tr r="X123" s="2"/>
      </tp>
      <tp t="s">
        <v>#N/A Requesting Data...3430184098</v>
        <stp/>
        <stp>BDP|16887960678930355071</stp>
        <tr r="P101" s="2"/>
      </tp>
      <tp t="s">
        <v>#N/A Requesting Data...4217923902</v>
        <stp/>
        <stp>BDP|16195468074874747969</stp>
        <tr r="U244" s="2"/>
      </tp>
      <tp>
        <v>178.83940000000001</v>
        <stp/>
        <stp>BDP|13628399405692593945|22</stp>
        <stp>SAL AB Equity</stp>
        <stp>VWAP</stp>
        <tr r="N282" s="2"/>
      </tp>
      <tp t="s">
        <v>#N/A Requesting Data...3453733452</v>
        <stp/>
        <stp>BDP|15904977716401886456</stp>
        <tr r="I16" s="2"/>
      </tp>
      <tp t="s">
        <v>#N/A Requesting Data...3694873084</v>
        <stp/>
        <stp>BDP|13827106172065903868</stp>
        <tr r="T281" s="2"/>
      </tp>
      <tp t="s">
        <v>#N/A Requesting Data...3478306182</v>
        <stp/>
        <stp>BDP|17858247461959114298</stp>
        <tr r="O120" s="2"/>
      </tp>
      <tp t="s">
        <v>#N/A Requesting Data...4249632585</v>
        <stp/>
        <stp>BDP|10473826743685608162</stp>
        <tr r="X89" s="2"/>
      </tp>
      <tp t="s">
        <v>#N/A Requesting Data...3685251944</v>
        <stp/>
        <stp>BDP|12887843077421818472</stp>
        <tr r="I178" s="2"/>
      </tp>
      <tp t="s">
        <v>#N/A Requesting Data...4205984017</v>
        <stp/>
        <stp>BDP|17916795144699735572</stp>
        <tr r="T82" s="2"/>
      </tp>
      <tp t="s">
        <v>#N/A Requesting Data...3263550167</v>
        <stp/>
        <stp>BDP|12201788017738852419</stp>
        <tr r="U189" s="2"/>
      </tp>
      <tp t="s">
        <v>#N/A Requesting Data...3731528818</v>
        <stp/>
        <stp>BDP|16825527976395921929</stp>
        <tr r="P291" s="2"/>
      </tp>
      <tp t="s">
        <v>#N/A Requesting Data...3359518996</v>
        <stp/>
        <stp>BDP|11129155623883689963</stp>
        <tr r="I50" s="2"/>
      </tp>
      <tp t="s">
        <v>#N/A Requesting Data...3797181510</v>
        <stp/>
        <stp>BDP|15734478044754316909</stp>
        <tr r="H72" s="2"/>
      </tp>
      <tp t="s">
        <v>#N/A Requesting Data...3841101389</v>
        <stp/>
        <stp>BDP|18202656507362017468</stp>
        <tr r="O2" s="2"/>
      </tp>
      <tp t="s">
        <v>#N/A Requesting Data...4224159771</v>
        <stp/>
        <stp>BDP|17765212730748644664</stp>
        <tr r="O221" s="2"/>
      </tp>
      <tp t="s">
        <v>#N/A Requesting Data...3771760745</v>
        <stp/>
        <stp>BDP|13253009416963518971</stp>
        <tr r="T18" s="2"/>
      </tp>
      <tp t="s">
        <v>#N/A Requesting Data...3749263072</v>
        <stp/>
        <stp>BDP|10433406923176041814</stp>
        <tr r="X229" s="2"/>
      </tp>
      <tp>
        <v>15.75</v>
        <stp/>
        <stp>BDP|9076737392290373931|22</stp>
        <stp>NADEC AB Equity</stp>
        <stp>LOW</stp>
        <tr r="L140" s="2"/>
      </tp>
      <tp t="s">
        <v>#N/A N/A</v>
        <stp/>
        <stp>BDH|12068722290852640601</stp>
        <tr r="V81" s="2"/>
      </tp>
      <tp t="s">
        <v>#N/A N/A</v>
        <stp/>
        <stp>BDH|11054783520064868846</stp>
        <tr r="V30" s="2"/>
      </tp>
      <tp>
        <v>-8.6454000000000004</v>
        <stp/>
        <stp>BDP|14217489854006439621|22</stp>
        <stp>MCDCO AB Equity</stp>
        <stp>CHG_PCT_1M_RT</stp>
        <tr r="E257" s="2"/>
      </tp>
      <tp t="s">
        <v>#N/A N/A</v>
        <stp/>
        <stp>BDH|15205277617207568915</stp>
        <tr r="V185" s="2"/>
      </tp>
      <tp t="s">
        <v>#N/A N/A</v>
        <stp/>
        <stp>BDH|12683792985260460548</stp>
        <tr r="V167" s="2"/>
      </tp>
      <tp>
        <v>17.010000000000002</v>
        <stp/>
        <stp>BDP|1363193298725145298|22</stp>
        <stp>ASLAK AB Equity</stp>
        <stp>BID</stp>
        <tr r="Q219" s="2"/>
      </tp>
      <tp t="s">
        <v>#N/A N/A</v>
        <stp/>
        <stp>BDH|13894855522614067531</stp>
        <tr r="V116" s="2"/>
      </tp>
      <tp>
        <v>14.9541</v>
        <stp/>
        <stp>BDP|3611666810199368098|22</stp>
        <stp>LIVA AB Equity</stp>
        <stp>CHG_PCT_YTD_RT</stp>
        <tr r="F173" s="2"/>
      </tp>
      <tp t="s">
        <v>#N/A N/A</v>
        <stp/>
        <stp>BDH|12109931718832101057</stp>
        <tr r="V123" s="2"/>
      </tp>
      <tp>
        <v>9.9195995330810547</v>
        <stp/>
        <stp>BDP|10675196123348767666|22</stp>
        <stp>ALABDUL AB Equity</stp>
        <stp>RT_PX_CHG_PCT_1D</stp>
        <tr r="D58" s="2"/>
      </tp>
      <tp>
        <v>3.25</v>
        <stp/>
        <stp>BDP|15497269406270841800|22</stp>
        <stp>UCA AB Equity</stp>
        <stp>LOW</stp>
        <tr r="L181" s="2"/>
      </tp>
      <tp>
        <v>10.94</v>
        <stp/>
        <stp>BDP|11962681069953835241|22</stp>
        <stp>ALLIANZ AB Equity</stp>
        <stp>YEST_LAST_TRADE</stp>
        <tr r="G175" s="2"/>
      </tp>
      <tp>
        <v>6.54</v>
        <stp/>
        <stp>BDP|12144755880716989041|22</stp>
        <stp>APCO AB Equity</stp>
        <stp>LOW</stp>
        <tr r="L192" s="2"/>
      </tp>
      <tp>
        <v>25.42</v>
        <stp/>
        <stp>BDP|13867442284985765405|22</stp>
        <stp>UCIC AB Equity</stp>
        <stp>ASK</stp>
        <tr r="R194" s="2"/>
      </tp>
      <tp>
        <v>2.6763999462127686</v>
        <stp/>
        <stp>BDP|17739631529946713523|22</stp>
        <stp>GIZACO AB Equity</stp>
        <stp>RT_PX_CHG_PCT_1D</stp>
        <tr r="D133" s="2"/>
      </tp>
      <tp>
        <v>12.1</v>
        <stp/>
        <stp>BDP|6608227982253419801|22</stp>
        <stp>SAGR AB Equity</stp>
        <stp>HIGH</stp>
        <tr r="M184" s="2"/>
      </tp>
      <tp>
        <v>3655102</v>
        <stp/>
        <stp>BDP|10179815729887760656|22</stp>
        <stp>STC AB Equity</stp>
        <stp>VOLUME</stp>
        <tr r="J275" s="2"/>
      </tp>
      <tp>
        <v>4.6464999999999996</v>
        <stp/>
        <stp>BDP|667967160894273478|22</stp>
        <stp>CARE AB Equity</stp>
        <stp>CHG_PCT_1M_RT</stp>
        <tr r="E158" s="2"/>
      </tp>
      <tp>
        <v>98953</v>
        <stp/>
        <stp>BDP|16014473565938724351|22</stp>
        <stp>SPM AB Equity</stp>
        <stp>VOLUME</stp>
        <tr r="J215" s="2"/>
      </tp>
      <tp>
        <v>17.75</v>
        <stp/>
        <stp>BDP|14367053372795393310|22</stp>
        <stp>teco AB Equity</stp>
        <stp>HIGH</stp>
        <tr r="M72" s="2"/>
      </tp>
      <tp>
        <v>112547</v>
        <stp/>
        <stp>BDP|11064392189226559128|22</stp>
        <stp>SRE AB Equity</stp>
        <stp>VOLUME</stp>
        <tr r="J251" s="2"/>
      </tp>
      <tp t="s">
        <v>#N/A Requesting Data...3373524727</v>
        <stp/>
        <stp>BDP|17164259585832122698</stp>
        <tr r="H13" s="2"/>
      </tp>
      <tp t="s">
        <v>#N/A Requesting Data...4124593418</v>
        <stp/>
        <stp>BDP|17097816775664981547</stp>
        <tr r="S215" s="2"/>
      </tp>
      <tp t="s">
        <v>#N/A Requesting Data...3295015722</v>
        <stp/>
        <stp>BDP|10064714458482182905</stp>
        <tr r="X140" s="2"/>
      </tp>
      <tp t="s">
        <v>#N/A Requesting Data...3253441027</v>
        <stp/>
        <stp>BDP|11998757344068851383</stp>
        <tr r="S123" s="2"/>
      </tp>
      <tp t="s">
        <v>#N/A Requesting Data...3683086793</v>
        <stp/>
        <stp>BDP|16843487052609958738</stp>
        <tr r="S22" s="2"/>
      </tp>
      <tp t="s">
        <v>#N/A Requesting Data...3618679595</v>
        <stp/>
        <stp>BDP|13157136091133274198</stp>
        <tr r="O56" s="2"/>
      </tp>
      <tp t="s">
        <v>#N/A Requesting Data...4050033407</v>
        <stp/>
        <stp>BDP|16969560036541304820</stp>
        <tr r="X227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Data...3644269394</v>
        <stp/>
        <stp>BDP|13275060596554887711</stp>
        <tr r="P27" s="2"/>
      </tp>
      <tp t="s">
        <v>#N/A Requesting Data...3425450382</v>
        <stp/>
        <stp>BDP|16790008780151899646</stp>
        <tr r="H275" s="2"/>
      </tp>
      <tp t="s">
        <v>#N/A Requesting Data...3951811794</v>
        <stp/>
        <stp>BDP|11110242443667513986</stp>
        <tr r="O29" s="2"/>
      </tp>
      <tp>
        <v>38.6</v>
        <stp/>
        <stp>BDP|13597953193829479372|22</stp>
        <stp>SNB AB Equity</stp>
        <stp>OPEN</stp>
        <tr r="K13" s="2"/>
      </tp>
      <tp>
        <v>8.3783999999999992</v>
        <stp/>
        <stp>BDP|9203777161533118294|22</stp>
        <stp>ALLIANZ AB Equity</stp>
        <stp>CHG_PCT_YTD_RT</stp>
        <tr r="F175" s="2"/>
      </tp>
      <tp t="s">
        <v>#N/A Requesting Data...4174906364</v>
        <stp/>
        <stp>BDP|16761748578656998989</stp>
        <tr r="U38" s="2"/>
      </tp>
      <tp t="s">
        <v>#N/A Requesting Data...3629054942</v>
        <stp/>
        <stp>BDP|16924297993604119081</stp>
        <tr r="S151" s="2"/>
      </tp>
      <tp t="s">
        <v>#N/A Requesting Data...4266089610</v>
        <stp/>
        <stp>BDP|12692669888634347110</stp>
        <tr r="H30" s="2"/>
      </tp>
      <tp t="s">
        <v>#N/A Requesting Data...3715008490</v>
        <stp/>
        <stp>BDP|16954193096235374288</stp>
        <tr r="I204" s="2"/>
      </tp>
      <tp t="s">
        <v>#N/A Requesting Data...4081886061</v>
        <stp/>
        <stp>BDP|18277842143039073488</stp>
        <tr r="T66" s="2"/>
      </tp>
      <tp t="s">
        <v>#N/A Requesting Data...4195935167</v>
        <stp/>
        <stp>BDP|16696100609728790659</stp>
        <tr r="U2" s="2"/>
      </tp>
      <tp t="s">
        <v>#N/A Requesting Data...4251036791</v>
        <stp/>
        <stp>BDP|11013308389775798636</stp>
        <tr r="O241" s="2"/>
      </tp>
      <tp t="s">
        <v>#N/A Requesting Data...4034213102</v>
        <stp/>
        <stp>BDP|18433676401185850277</stp>
        <tr r="U24" s="2"/>
      </tp>
      <tp t="s">
        <v>#N/A Requesting Data...3595255747</v>
        <stp/>
        <stp>BDP|10109282795161546359</stp>
        <tr r="U74" s="2"/>
      </tp>
      <tp t="s">
        <v>#N/A Requesting Data...4253764523</v>
        <stp/>
        <stp>BDP|10971386542499657791</stp>
        <tr r="S244" s="2"/>
      </tp>
      <tp t="s">
        <v>#N/A Requesting Data...3396329876</v>
        <stp/>
        <stp>BDP|10353880376606050017</stp>
        <tr r="S177" s="2"/>
      </tp>
      <tp>
        <v>89.25</v>
        <stp/>
        <stp>BDP|3467548119129895222|22</stp>
        <stp>EAT AB Equity</stp>
        <stp>LAST_PRICE</stp>
        <tr r="C277" s="2"/>
        <tr r="B277" s="2"/>
      </tp>
      <tp t="s">
        <v>#N/A Requesting Data...3862851167</v>
        <stp/>
        <stp>BDP|12411699880767662242</stp>
        <tr r="S93" s="2"/>
      </tp>
      <tp t="s">
        <v>#N/A Requesting Data...3956542192</v>
        <stp/>
        <stp>BDP|14288872890449254589</stp>
        <tr r="O26" s="2"/>
      </tp>
      <tp t="s">
        <v>#N/A Requesting Data...3429745176</v>
        <stp/>
        <stp>BDP|16064269709449234428</stp>
        <tr r="X146" s="2"/>
      </tp>
      <tp>
        <v>1.9782</v>
        <stp/>
        <stp>BDP|41715313405697683|22</stp>
        <stp>YACCO AB Equity</stp>
        <stp>CHG_PCT_1M_RT</stp>
        <tr r="E222" s="2"/>
      </tp>
      <tp t="s">
        <v>#N/A Requesting Data...3597899293</v>
        <stp/>
        <stp>BDP|11571195794353136384</stp>
        <tr r="U155" s="2"/>
      </tp>
      <tp t="s">
        <v>#N/A Requesting Data...3643746603</v>
        <stp/>
        <stp>BDP|11966436889363402778</stp>
        <tr r="U231" s="2"/>
      </tp>
      <tp t="s">
        <v>#N/A Requesting Data...4289127000</v>
        <stp/>
        <stp>BDP|10629754886902448411</stp>
        <tr r="X62" s="2"/>
      </tp>
      <tp t="s">
        <v>#N/A Requesting Data...4288087111</v>
        <stp/>
        <stp>BDP|12970289983372268305</stp>
        <tr r="U77" s="2"/>
      </tp>
      <tp t="s">
        <v>#N/A Requesting Data...3923920479</v>
        <stp/>
        <stp>BDP|13855450187461870728</stp>
        <tr r="I177" s="2"/>
      </tp>
      <tp t="s">
        <v>#N/A Requesting Data...3825712207</v>
        <stp/>
        <stp>BDP|13248965412921200349</stp>
        <tr r="T220" s="2"/>
      </tp>
      <tp>
        <v>49.7</v>
        <stp/>
        <stp>BDP|15397702415013656919|22</stp>
        <stp>SSP AB Equity</stp>
        <stp>OPEN</stp>
        <tr r="K193" s="2"/>
      </tp>
      <tp t="s">
        <v>#N/A Requesting Data...3517023531</v>
        <stp/>
        <stp>BDP|15072490439139095233</stp>
        <tr r="U253" s="2"/>
      </tp>
      <tp t="s">
        <v>#N/A Requesting Data...3882806650</v>
        <stp/>
        <stp>BDP|10461616289091904661</stp>
        <tr r="I130" s="2"/>
      </tp>
      <tp t="s">
        <v>#N/A Requesting Data...3912374482</v>
        <stp/>
        <stp>BDP|12050079701823674835</stp>
        <tr r="P105" s="2"/>
      </tp>
      <tp t="s">
        <v>#N/A Requesting Data...3467175654</v>
        <stp/>
        <stp>BDP|12632870883439994294</stp>
        <tr r="T144" s="2"/>
      </tp>
      <tp t="s">
        <v>#N/A Requesting Data...3800774825</v>
        <stp/>
        <stp>BDP|13565458270040671946</stp>
        <tr r="T232" s="2"/>
      </tp>
      <tp t="s">
        <v>#N/A Requesting Data...4056030427</v>
        <stp/>
        <stp>BDP|16717413545578132707</stp>
        <tr r="S68" s="2"/>
      </tp>
      <tp t="s">
        <v>#N/A Requesting Data...4030432955</v>
        <stp/>
        <stp>BDP|17785859750252656161</stp>
        <tr r="O53" s="2"/>
      </tp>
      <tp t="s">
        <v>#N/A Requesting Data...4077910563</v>
        <stp/>
        <stp>BDP|11458583008748343553</stp>
        <tr r="O163" s="2"/>
      </tp>
      <tp t="s">
        <v>#N/A Requesting Data...3551249189</v>
        <stp/>
        <stp>BDP|17014675174999472620</stp>
        <tr r="I226" s="2"/>
      </tp>
      <tp t="s">
        <v>#N/A Requesting Data...4145466176</v>
        <stp/>
        <stp>BDP|14560473246169789465</stp>
        <tr r="P114" s="2"/>
      </tp>
      <tp t="s">
        <v>#N/A Requesting Data...3453283380</v>
        <stp/>
        <stp>BDP|17449969160189304841</stp>
        <tr r="I8" s="2"/>
      </tp>
      <tp t="s">
        <v>#N/A Requesting Data...4211509047</v>
        <stp/>
        <stp>BDP|15335637225668188016</stp>
        <tr r="S223" s="2"/>
      </tp>
      <tp t="s">
        <v>#N/A Requesting Data...4043042383</v>
        <stp/>
        <stp>BDP|16852994735594568143</stp>
        <tr r="O288" s="2"/>
      </tp>
      <tp t="s">
        <v>#N/A Requesting Data...4138879700</v>
        <stp/>
        <stp>BDP|15734309799240069695</stp>
        <tr r="U144" s="2"/>
      </tp>
      <tp t="s">
        <v>#N/A Requesting Data...3767960459</v>
        <stp/>
        <stp>BDP|15626094944838556091</stp>
        <tr r="S75" s="2"/>
      </tp>
      <tp t="s">
        <v>#N/A Requesting Data...3540224795</v>
        <stp/>
        <stp>BDP|17204558983281181228</stp>
        <tr r="H174" s="2"/>
      </tp>
      <tp t="s">
        <v>#N/A Requesting Data...3534785703</v>
        <stp/>
        <stp>BDP|18063070924462012140</stp>
        <tr r="H170" s="2"/>
      </tp>
      <tp t="s">
        <v>#N/A Requesting Data...3780758596</v>
        <stp/>
        <stp>BDP|10422017543808948588</stp>
        <tr r="H257" s="2"/>
      </tp>
      <tp t="s">
        <v>#N/A Requesting Data...3495924748</v>
        <stp/>
        <stp>BDP|11674569223747512818</stp>
        <tr r="S24" s="2"/>
      </tp>
      <tp t="s">
        <v>#N/A Requesting Data...3468468857</v>
        <stp/>
        <stp>BDP|15101654833339067006</stp>
        <tr r="O92" s="2"/>
      </tp>
      <tp t="s">
        <v>#N/A Requesting Data...3562838580</v>
        <stp/>
        <stp>BDP|15221873370553302011</stp>
        <tr r="I68" s="2"/>
      </tp>
      <tp t="s">
        <v>#N/A Requesting Data...4055894936</v>
        <stp/>
        <stp>BDP|16374930603342588407</stp>
        <tr r="O139" s="2"/>
      </tp>
      <tp t="s">
        <v>#N/A Requesting Data...3941481829</v>
        <stp/>
        <stp>BDP|10252637173861605923</stp>
        <tr r="P255" s="2"/>
      </tp>
      <tp t="s">
        <v>#N/A Requesting Data...3774763503</v>
        <stp/>
        <stp>BDP|13144285489080145077</stp>
        <tr r="I29" s="2"/>
      </tp>
      <tp t="s">
        <v>#N/A Requesting Data...4213156867</v>
        <stp/>
        <stp>BDP|12523767492335266056</stp>
        <tr r="P39" s="2"/>
      </tp>
      <tp t="s">
        <v>#N/A Requesting Data...4153411133</v>
        <stp/>
        <stp>BDP|16094312732826235975</stp>
        <tr r="U213" s="2"/>
      </tp>
      <tp t="s">
        <v>#N/A N/A</v>
        <stp/>
        <stp>BDH|17306556536539059118</stp>
        <tr r="V157" s="2"/>
      </tp>
      <tp t="s">
        <v>#N/A N/A</v>
        <stp/>
        <stp>BDH|13604428960250709809</stp>
        <tr r="V47" s="2"/>
      </tp>
      <tp t="s">
        <v>#N/A N/A</v>
        <stp/>
        <stp>BDH|15628454321673268955</stp>
        <tr r="V120" s="2"/>
      </tp>
      <tp>
        <v>60.45</v>
        <stp/>
        <stp>BDP|9226239408464715795|22</stp>
        <stp>EEC AB Equity</stp>
        <stp>LAST_PRICE</stp>
        <tr r="B274" s="2"/>
        <tr r="C274" s="2"/>
      </tp>
      <tp>
        <v>16.309999999999999</v>
        <stp/>
        <stp>BDP|3443280956433070316|22</stp>
        <stp>ASLAK AB Equity</stp>
        <stp>LOW</stp>
        <tr r="L219" s="2"/>
      </tp>
      <tp>
        <v>0.86719999999999997</v>
        <stp/>
        <stp>BDP|17365134287778091378|22</stp>
        <stp>JOMAR AB Equity</stp>
        <stp>CHG_PCT_1M_RT</stp>
        <tr r="E66" s="2"/>
      </tp>
      <tp t="s">
        <v>#N/A N/A</v>
        <stp/>
        <stp>BDH|16786179131018966535</stp>
        <tr r="V205" s="2"/>
      </tp>
      <tp t="s">
        <v>#N/A N/A</v>
        <stp/>
        <stp>BDH|17135613953518836513</stp>
        <tr r="V170" s="2"/>
      </tp>
      <tp>
        <v>31.82</v>
        <stp/>
        <stp>BDP|3960496687268452926|22</stp>
        <stp>NSCSA AB Equity</stp>
        <stp>BID</stp>
        <tr r="Q94" s="2"/>
      </tp>
      <tp t="s">
        <v>#N/A N/A</v>
        <stp/>
        <stp>BDH|16310837832952721692</stp>
        <tr r="V289" s="2"/>
      </tp>
      <tp t="s">
        <v>#N/A N/A</v>
        <stp/>
        <stp>BDH|17969811792259461620</stp>
        <tr r="V52" s="2"/>
      </tp>
      <tp t="s">
        <v>#N/A N/A</v>
        <stp/>
        <stp>BDH|12665162518258013377</stp>
        <tr r="V207" s="2"/>
      </tp>
      <tp>
        <v>14.4838</v>
        <stp/>
        <stp>BDP|10307799136489374034|22</stp>
        <stp>AMANA AB Equity</stp>
        <stp>CHG_PCT_1M_RT</stp>
        <tr r="E176" s="2"/>
      </tp>
      <tp t="s">
        <v>#N/A N/A</v>
        <stp/>
        <stp>BDH|10261749335705993844</stp>
        <tr r="V49" s="2"/>
      </tp>
      <tp>
        <v>3.0836999416351318</v>
        <stp/>
        <stp>BDP|14986044554801363940|22</stp>
        <stp>NICEONE AB Equity</stp>
        <stp>RT_PX_CHG_PCT_1D</stp>
        <tr r="D42" s="2"/>
      </tp>
      <tp>
        <v>8.19</v>
        <stp/>
        <stp>BDP|15257418866875391480|22</stp>
        <stp>ALRAJHI AB Equity</stp>
        <stp>YEST_LAST_TRADE</stp>
        <tr r="G98" s="2"/>
      </tp>
      <tp>
        <v>32.4</v>
        <stp/>
        <stp>BDP|17215918567818067471|22</stp>
        <stp>GIG AB Equity</stp>
        <stp>BID</stp>
        <tr r="Q185" s="2"/>
      </tp>
      <tp>
        <v>131.6</v>
        <stp/>
        <stp>BDP|1590285000854267602|22</stp>
        <stp>ASTRA AB Equity</stp>
        <stp>LAST_PRICE</stp>
        <tr r="B27" s="2"/>
        <tr r="C27" s="2"/>
      </tp>
      <tp>
        <v>6.7</v>
        <stp/>
        <stp>BDP|3579921156199760089|22</stp>
        <stp>APCO AB Equity</stp>
        <stp>OPEN</stp>
        <tr r="K192" s="2"/>
      </tp>
      <tp>
        <v>192.6</v>
        <stp/>
        <stp>BDP|17653684403416558668|22</stp>
        <stp>ACWA AB Equity</stp>
        <stp>BID</stp>
        <tr r="Q289" s="2"/>
      </tp>
      <tp>
        <v>23.29</v>
        <stp/>
        <stp>BDP|11656877759030434467|22</stp>
        <stp>FPCO AB Equity</stp>
        <stp>BID</stp>
        <tr r="Q147" s="2"/>
      </tp>
      <tp>
        <v>6.69</v>
        <stp/>
        <stp>BDP|7175459429575317513|22</stp>
        <stp>ACIG AB Equity</stp>
        <stp>OPEN</stp>
        <tr r="K170" s="2"/>
      </tp>
      <tp>
        <v>25.4</v>
        <stp/>
        <stp>BDP|14272743664089027225|22</stp>
        <stp>OBEKAN AB Equity</stp>
        <stp>LAST_PRICE</stp>
        <tr r="B24" s="2"/>
        <tr r="C24" s="2"/>
      </tp>
      <tp>
        <v>7.17</v>
        <stp/>
        <stp>BDP|15107134935514965433|22</stp>
        <stp>SPPC AB Equity</stp>
        <stp>LOW</stp>
        <tr r="L40" s="2"/>
      </tp>
      <tp>
        <v>17.972899999999999</v>
        <stp/>
        <stp>BDP|6509235630785071913|22</stp>
        <stp>ADCO AB Equity</stp>
        <stp>VWAP</stp>
        <tr r="N260" s="2"/>
      </tp>
      <tp>
        <v>20.2</v>
        <stp/>
        <stp>BDP|4897756204881436441|22</stp>
        <stp>RIBL AB Equity</stp>
        <stp>HIGH</stp>
        <tr r="M9" s="2"/>
      </tp>
      <tp>
        <v>-8.9285999999999994</v>
        <stp/>
        <stp>BDP|15522150572051243247|22</stp>
        <stp>AZM AB Equity</stp>
        <stp>CHG_PCT_YTD_RT</stp>
        <tr r="F271" s="2"/>
      </tp>
      <tp>
        <v>14.25</v>
        <stp/>
        <stp>BDP|598078141110021180|22</stp>
        <stp>SAAC AB Equity</stp>
        <stp>LAST_PRICE</stp>
        <tr r="B17" s="2"/>
        <tr r="C17" s="2"/>
      </tp>
      <tp>
        <v>-6.9600000977516174E-2</v>
        <stp/>
        <stp>BDP|3307802617458250671|22</stp>
        <stp>MODERNMI AB Equity</stp>
        <stp>RT_PX_CHG_PCT_1D</stp>
        <tr r="D137" s="2"/>
      </tp>
      <tp>
        <v>-21.972300000000001</v>
        <stp/>
        <stp>BDP|238395070599911967|22</stp>
        <stp>ALARABIA AB Equity</stp>
        <stp>CHG_PCT_YTD_RT</stp>
        <tr r="F244" s="2"/>
      </tp>
      <tp>
        <v>74.849999999999994</v>
        <stp/>
        <stp>BDP|9788819475139141844|22</stp>
        <stp>CATERING AB Equity</stp>
        <stp>LAST_PRICE</stp>
        <tr r="C37" s="2"/>
        <tr r="B37" s="2"/>
      </tp>
      <tp t="s">
        <v>#N/A Requesting Data...3975335736</v>
        <stp/>
        <stp>BDP|13851283498312622475</stp>
        <tr r="S121" s="2"/>
      </tp>
      <tp t="s">
        <v>#N/A Requesting Data...3615667219</v>
        <stp/>
        <stp>BDP|10335339691342813608</stp>
        <tr r="T225" s="2"/>
      </tp>
      <tp t="s">
        <v>#N/A Requesting Data...3936953492</v>
        <stp/>
        <stp>BDP|15874262265377646850</stp>
        <tr r="S71" s="2"/>
      </tp>
      <tp t="s">
        <v>#N/A Requesting Data...3635181832</v>
        <stp/>
        <stp>BDP|17917460515395270902</stp>
        <tr r="U90" s="2"/>
      </tp>
      <tp t="s">
        <v>#N/A Requesting Data...3890135303</v>
        <stp/>
        <stp>BDP|12285034499935399038</stp>
        <tr r="P258" s="2"/>
      </tp>
      <tp t="s">
        <v>#N/A Requesting Data...4199210656</v>
        <stp/>
        <stp>BDP|14281429288013484578</stp>
        <tr r="H261" s="2"/>
      </tp>
      <tp t="s">
        <v>#N/A Requesting Data...4113113225</v>
        <stp/>
        <stp>BDP|15067220043215977833</stp>
        <tr r="O93" s="2"/>
      </tp>
      <tp t="s">
        <v>#N/A Requesting Data...4045969154</v>
        <stp/>
        <stp>BDP|14118581204427418822</stp>
        <tr r="H71" s="2"/>
      </tp>
      <tp t="s">
        <v>#N/A Requesting Data...4023347057</v>
        <stp/>
        <stp>BDP|16879751572259306170</stp>
        <tr r="X98" s="2"/>
      </tp>
      <tp t="s">
        <v>#N/A Requesting Data...3757162371</v>
        <stp/>
        <stp>BDP|10081636251609960412</stp>
        <tr r="U83" s="2"/>
      </tp>
      <tp t="s">
        <v>#N/A Requesting Data...3703836604</v>
        <stp/>
        <stp>BDP|16931426627586083868</stp>
        <tr r="O112" s="2"/>
      </tp>
      <tp t="s">
        <v>#N/A Requesting Data...4268046884</v>
        <stp/>
        <stp>BDP|16515871875546826151</stp>
        <tr r="U157" s="2"/>
      </tp>
      <tp t="s">
        <v>#N/A Requesting Data...3645740769</v>
        <stp/>
        <stp>BDP|13201785085452627040</stp>
        <tr r="I198" s="2"/>
      </tp>
      <tp t="s">
        <v>#N/A Requesting Data...4262817390</v>
        <stp/>
        <stp>BDP|10582164485965877234</stp>
        <tr r="X109" s="2"/>
      </tp>
      <tp>
        <v>31.04</v>
        <stp/>
        <stp>BDP|7793870775632696744|22</stp>
        <stp>SGS AB Equity</stp>
        <stp>LAST_PRICE</stp>
        <tr r="C281" s="2"/>
        <tr r="B281" s="2"/>
      </tp>
      <tp t="s">
        <v>#N/A Requesting Data...3677521682</v>
        <stp/>
        <stp>BDP|17014293000572093960</stp>
        <tr r="H214" s="2"/>
      </tp>
      <tp t="s">
        <v>#N/A Requesting Data...4122387520</v>
        <stp/>
        <stp>BDP|18017493939507965666</stp>
        <tr r="H34" s="2"/>
      </tp>
      <tp t="s">
        <v>#N/A Requesting Data...3892295780</v>
        <stp/>
        <stp>BDP|13379488583875604411</stp>
        <tr r="P283" s="2"/>
      </tp>
      <tp t="s">
        <v>#N/A Requesting Data...4263058026</v>
        <stp/>
        <stp>BDP|18446729922850801331</stp>
        <tr r="I156" s="2"/>
      </tp>
      <tp t="s">
        <v>#N/A Requesting Data...3743087547</v>
        <stp/>
        <stp>BDP|18143127980608519790</stp>
        <tr r="X177" s="2"/>
      </tp>
      <tp t="s">
        <v>#N/A Requesting Data...4018382632</v>
        <stp/>
        <stp>BDP|12956436232419513231</stp>
        <tr r="S69" s="2"/>
      </tp>
      <tp t="s">
        <v>#N/A Requesting Data...3688541149</v>
        <stp/>
        <stp>BDP|11250365034177647882</stp>
        <tr r="X26" s="2"/>
      </tp>
      <tp t="s">
        <v>#N/A Requesting Data...3785128722</v>
        <stp/>
        <stp>BDP|12932809159971282033</stp>
        <tr r="P263" s="2"/>
      </tp>
      <tp>
        <v>2.1566000000000001</v>
        <stp/>
        <stp>BDP|5294947020295786320|22</stp>
        <stp>MAATHER AB Equity</stp>
        <stp>CHG_PCT_YTD_RT</stp>
        <tr r="F106" s="2"/>
      </tp>
      <tp t="s">
        <v>#N/A Requesting Data...4255928181</v>
        <stp/>
        <stp>BDP|17942154199901722024</stp>
        <tr r="T37" s="2"/>
      </tp>
      <tp t="s">
        <v>#N/A Requesting Data...3957581654</v>
        <stp/>
        <stp>BDP|12819819718897886296</stp>
        <tr r="I275" s="2"/>
      </tp>
      <tp t="s">
        <v>#N/A Requesting Data...4220761571</v>
        <stp/>
        <stp>BDP|13064196468312865899</stp>
        <tr r="P63" s="2"/>
      </tp>
      <tp t="s">
        <v>#N/A Requesting Data...3926490162</v>
        <stp/>
        <stp>BDP|11436948390727054809</stp>
        <tr r="I91" s="2"/>
      </tp>
      <tp t="s">
        <v>#N/A Requesting Data...4255958863</v>
        <stp/>
        <stp>BDP|15985644702629753488</stp>
        <tr r="T255" s="2"/>
      </tp>
      <tp t="s">
        <v>#N/A Requesting Data...3867125893</v>
        <stp/>
        <stp>BDP|15166662424788541759</stp>
        <tr r="O260" s="2"/>
      </tp>
      <tp t="s">
        <v>#N/A Requesting Data...4233883093</v>
        <stp/>
        <stp>BDP|16235579135147208919</stp>
        <tr r="H153" s="2"/>
      </tp>
      <tp t="s">
        <v>#N/A Requesting Data...3872103515</v>
        <stp/>
        <stp>BDP|15246492591456113085</stp>
        <tr r="I175" s="2"/>
      </tp>
      <tp t="s">
        <v>#N/A Requesting Data...3784191570</v>
        <stp/>
        <stp>BDP|17903998004480335055</stp>
        <tr r="P29" s="2"/>
      </tp>
      <tp t="s">
        <v>#N/A Requesting Data...4092229421</v>
        <stp/>
        <stp>BDP|15780843876396526227</stp>
        <tr r="H200" s="2"/>
      </tp>
      <tp t="s">
        <v>#N/A Requesting Data...4133472106</v>
        <stp/>
        <stp>BDP|16094035816129391048</stp>
        <tr r="H223" s="2"/>
      </tp>
      <tp t="s">
        <v>#N/A Requesting Data...3976802043</v>
        <stp/>
        <stp>BDP|15165492099186140022</stp>
        <tr r="H156" s="2"/>
      </tp>
      <tp t="s">
        <v>#N/A Requesting Data...3851421441</v>
        <stp/>
        <stp>BDP|16523431307714132820</stp>
        <tr r="I205" s="2"/>
      </tp>
      <tp t="s">
        <v>#N/A Requesting Data...4253613352</v>
        <stp/>
        <stp>BDP|14293486264140372881</stp>
        <tr r="H111" s="2"/>
      </tp>
      <tp t="s">
        <v>#N/A Requesting Data...4285023281</v>
        <stp/>
        <stp>BDP|13058900069415944758</stp>
        <tr r="O251" s="2"/>
      </tp>
      <tp t="s">
        <v>#N/A Requesting Data...3786940492</v>
        <stp/>
        <stp>BDP|10354168844868790331</stp>
        <tr r="O203" s="2"/>
      </tp>
      <tp t="s">
        <v>#N/A Requesting Data...3851484257</v>
        <stp/>
        <stp>BDP|13143307911617777824</stp>
        <tr r="I7" s="2"/>
      </tp>
      <tp t="s">
        <v>#N/A Requesting Data...3754791253</v>
        <stp/>
        <stp>BDP|14645163875484976890</stp>
        <tr r="X103" s="2"/>
      </tp>
      <tp t="s">
        <v>#N/A Requesting Data...3992064884</v>
        <stp/>
        <stp>BDP|14037733953228084044</stp>
        <tr r="H277" s="2"/>
      </tp>
      <tp t="s">
        <v>#N/A Requesting Data...4250191973</v>
        <stp/>
        <stp>BDP|15123475336168290463</stp>
        <tr r="O78" s="2"/>
      </tp>
      <tp t="s">
        <v>#N/A Requesting Data...4117204487</v>
        <stp/>
        <stp>BDP|12652086841810859838</stp>
        <tr r="S9" s="2"/>
      </tp>
      <tp t="s">
        <v>#N/A Requesting Data...4115260138</v>
        <stp/>
        <stp>BDP|13285129696365245002</stp>
        <tr r="H137" s="2"/>
      </tp>
      <tp t="s">
        <v>#N/A Requesting Data...4082650753</v>
        <stp/>
        <stp>BDP|12279137204905411862</stp>
        <tr r="S175" s="2"/>
      </tp>
      <tp t="s">
        <v>#N/A Requesting Data...3808731636</v>
        <stp/>
        <stp>BDP|10425026751093211826</stp>
        <tr r="T233" s="2"/>
      </tp>
      <tp t="s">
        <v>#N/A Requesting Data...4219510447</v>
        <stp/>
        <stp>BDP|10713143742448634306</stp>
        <tr r="U259" s="2"/>
      </tp>
      <tp t="s">
        <v>#N/A Requesting Data...4117043509</v>
        <stp/>
        <stp>BDP|18420838621915162902</stp>
        <tr r="X179" s="2"/>
      </tp>
      <tp t="s">
        <v>#N/A Requesting Data...4131740531</v>
        <stp/>
        <stp>BDP|15524536481680465642</stp>
        <tr r="I230" s="2"/>
      </tp>
      <tp t="s">
        <v>#N/A Requesting Data...3935156362</v>
        <stp/>
        <stp>BDP|13607363919676818976</stp>
        <tr r="T63" s="2"/>
      </tp>
      <tp t="s">
        <v>#N/A N/A</v>
        <stp/>
        <stp>BDH|11317277404874133904</stp>
        <tr r="V236" s="2"/>
      </tp>
      <tp t="s">
        <v>#N/A N/A</v>
        <stp/>
        <stp>BDH|11299058752018180245</stp>
        <tr r="V239" s="2"/>
      </tp>
      <tp>
        <v>446965</v>
        <stp/>
        <stp>BDP|3174517926415048397|22</stp>
        <stp>ACWA AB Equity</stp>
        <stp>VOLUME</stp>
        <tr r="J289" s="2"/>
      </tp>
      <tp t="s">
        <v>#N/A N/A</v>
        <stp/>
        <stp>BDH|13441855464595658612</stp>
        <tr r="V109" s="2"/>
      </tp>
      <tp t="s">
        <v>#N/A N/A</v>
        <stp/>
        <stp>BDH|15621844922132208379</stp>
        <tr r="V251" s="2"/>
      </tp>
      <tp>
        <v>101.751</v>
        <stp/>
        <stp>BDP|14873366717392775452|22</stp>
        <stp>DWF AB Equity</stp>
        <stp>VWAP</stp>
        <tr r="N70" s="2"/>
      </tp>
      <tp t="s">
        <v>#N/A N/A</v>
        <stp/>
        <stp>BDH|17045706554252511956</stp>
        <tr r="V18" s="2"/>
      </tp>
      <tp t="s">
        <v>#N/A N/A</v>
        <stp/>
        <stp>BDH|11466832614320554624</stp>
        <tr r="V257" s="2"/>
      </tp>
      <tp t="s">
        <v>#N/A N/A</v>
        <stp/>
        <stp>BDH|16257014812860449927</stp>
        <tr r="V130" s="2"/>
      </tp>
      <tp t="s">
        <v>#N/A N/A</v>
        <stp/>
        <stp>BDH|11146431540159032656</stp>
        <tr r="V28" s="2"/>
      </tp>
      <tp>
        <v>23.05</v>
        <stp/>
        <stp>BDP|6181628512931383250|22</stp>
        <stp>ARCCO AB Equity</stp>
        <stp>BID</stp>
        <tr r="Q231" s="2"/>
      </tp>
      <tp>
        <v>4611647</v>
        <stp/>
        <stp>BDP|3696589746928467409|22</stp>
        <stp>AATD AB Equity</stp>
        <stp>VOLUME</stp>
        <tr r="J76" s="2"/>
      </tp>
      <tp>
        <v>6.52</v>
        <stp/>
        <stp>BDP|10183766087968520955|22</stp>
        <stp>CGS AB Equity</stp>
        <stp>OPEN</stp>
        <tr r="K31" s="2"/>
      </tp>
      <tp>
        <v>32.020000000000003</v>
        <stp/>
        <stp>BDP|13071864943655171842|22</stp>
        <stp>MEH AB Equity</stp>
        <stp>OPEN</stp>
        <tr r="K152" s="2"/>
      </tp>
      <tp>
        <v>12.53</v>
        <stp/>
        <stp>BDP|5385072778421360|22</stp>
        <stp>LIVA AB Equity</stp>
        <stp>LAST_PRICE</stp>
        <tr r="C173" s="2"/>
        <tr r="B173" s="2"/>
      </tp>
      <tp>
        <v>33.9</v>
        <stp/>
        <stp>BDP|15714278105161854086|22</stp>
        <stp>ZIIC AB Equity</stp>
        <stp>BID</stp>
        <tr r="Q221" s="2"/>
      </tp>
      <tp>
        <v>45.26</v>
        <stp/>
        <stp>BDP|1048957172560434769|22</stp>
        <stp>SACO AB Equity</stp>
        <stp>HIGH</stp>
        <tr r="M45" s="2"/>
      </tp>
      <tp>
        <v>-19.072800000000001</v>
        <stp/>
        <stp>BDP|12190513848900986701|22</stp>
        <stp>PETROR AB Equity</stp>
        <stp>CHG_PCT_1M_RT</stp>
        <tr r="E89" s="2"/>
      </tp>
      <tp>
        <v>0.41969999670982361</v>
        <stp/>
        <stp>BDP|1429643075601715829|22</stp>
        <stp>SMCHEALT AB Equity</stp>
        <stp>RT_PX_CHG_PCT_1D</stp>
        <tr r="D150" s="2"/>
      </tp>
      <tp>
        <v>5.05</v>
        <stp/>
        <stp>BDP|10303532312808606146|22</stp>
        <stp>RYDREIT AB Equity</stp>
        <stp>LAST_PRICE</stp>
        <tr r="C111" s="2"/>
        <tr r="B111" s="2"/>
      </tp>
      <tp>
        <v>32.819200000000002</v>
        <stp/>
        <stp>BDP|13162795947049668910|22</stp>
        <stp>HB AB Equity</stp>
        <stp>VWAP</stp>
        <tr r="N139" s="2"/>
      </tp>
      <tp>
        <v>6.5</v>
        <stp/>
        <stp>BDP|14575883438784875920|22</stp>
        <stp>2P AB Equity</stp>
        <stp>OPEN</stp>
        <tr r="K267" s="2"/>
      </tp>
      <tp>
        <v>10.94</v>
        <stp/>
        <stp>BDP|7472291598445519151|22</stp>
        <stp>ALJAZIRA AB Equity</stp>
        <stp>LAST_PRICE</stp>
        <tr r="C102" s="2"/>
        <tr r="B102" s="2"/>
      </tp>
      <tp t="s">
        <v>#N/A Requesting Data...3796617895</v>
        <stp/>
        <stp>BDP|15404466299254471368</stp>
        <tr r="O264" s="2"/>
      </tp>
      <tp t="s">
        <v>#N/A Requesting Data...3931077117</v>
        <stp/>
        <stp>BDP|12922878071815740707</stp>
        <tr r="U269" s="2"/>
      </tp>
      <tp t="s">
        <v>#N/A Requesting Data...4175150807</v>
        <stp/>
        <stp>BDP|10960323505609156573</stp>
        <tr r="S101" s="2"/>
      </tp>
      <tp t="s">
        <v>#N/A Requesting Data...4169550867</v>
        <stp/>
        <stp>BDP|17857382987024855744</stp>
        <tr r="P243" s="2"/>
      </tp>
      <tp t="s">
        <v>#N/A Requesting Data...3841446969</v>
        <stp/>
        <stp>BDP|11521231709734357875</stp>
        <tr r="S62" s="2"/>
      </tp>
      <tp t="s">
        <v>#N/A Requesting Data...4151414082</v>
        <stp/>
        <stp>BDP|15290801122693313396</stp>
        <tr r="U147" s="2"/>
      </tp>
      <tp t="s">
        <v>#N/A Requesting Data...4159452898</v>
        <stp/>
        <stp>BDP|16466874836870892270</stp>
        <tr r="U94" s="2"/>
      </tp>
      <tp t="s">
        <v>#N/A Requesting Data...4104916785</v>
        <stp/>
        <stp>BDP|10029891978431347184</stp>
        <tr r="I6" s="2"/>
      </tp>
      <tp t="s">
        <v>#N/A Requesting Data...4016967937</v>
        <stp/>
        <stp>BDP|15993561056908345200</stp>
        <tr r="P219" s="2"/>
      </tp>
      <tp t="s">
        <v>#N/A Requesting Data...3930621865</v>
        <stp/>
        <stp>BDP|16826222737451930999</stp>
        <tr r="S86" s="2"/>
      </tp>
      <tp t="s">
        <v>#N/A Requesting Data...3902827895</v>
        <stp/>
        <stp>BDP|16560754068219519100</stp>
        <tr r="T261" s="2"/>
      </tp>
      <tp t="s">
        <v>#N/A Requesting Data...4275984103</v>
        <stp/>
        <stp>BDP|13869894462097774595</stp>
        <tr r="S25" s="2"/>
      </tp>
      <tp t="s">
        <v>#N/A Requesting Data...4182315339</v>
        <stp/>
        <stp>BDP|14073745036277895867</stp>
        <tr r="T44" s="2"/>
      </tp>
      <tp t="s">
        <v>#N/A Requesting Data...4012612417</v>
        <stp/>
        <stp>BDP|11326475489295280731</stp>
        <tr r="I98" s="2"/>
      </tp>
      <tp t="s">
        <v>#N/A Requesting Data...3833731693</v>
        <stp/>
        <stp>BDP|13818477278797253898</stp>
        <tr r="H258" s="2"/>
      </tp>
      <tp t="s">
        <v>#N/A Requesting Data...3830898356</v>
        <stp/>
        <stp>BDP|14750167075644019982</stp>
        <tr r="P9" s="2"/>
      </tp>
      <tp t="s">
        <v>#N/A Requesting Data...4119468441</v>
        <stp/>
        <stp>BDP|13395990187794395923</stp>
        <tr r="I158" s="2"/>
      </tp>
      <tp t="s">
        <v>#N/A Requesting Data...4099954805</v>
        <stp/>
        <stp>BDP|15004212899840090179</stp>
        <tr r="H217" s="2"/>
      </tp>
      <tp t="s">
        <v>#N/A Requesting Data...3765661187</v>
        <stp/>
        <stp>BDP|17771804029026753468</stp>
        <tr r="O117" s="2"/>
      </tp>
      <tp t="s">
        <v>#N/A Requesting Data...4175819589</v>
        <stp/>
        <stp>BDP|14335324179768617716</stp>
        <tr r="I12" s="2"/>
      </tp>
      <tp t="s">
        <v>#N/A Requesting Data...4155953709</v>
        <stp/>
        <stp>BDP|15183302299380661006</stp>
        <tr r="I251" s="2"/>
      </tp>
      <tp t="s">
        <v>#N/A Requesting Data...3793061976</v>
        <stp/>
        <stp>BDP|10640985015392217570</stp>
        <tr r="O144" s="2"/>
      </tp>
      <tp t="s">
        <v>#N/A Requesting Data...3903656299</v>
        <stp/>
        <stp>BDP|16278866244075794099</stp>
        <tr r="X175" s="2"/>
      </tp>
      <tp t="s">
        <v>#N/A Requesting Data...3871446259</v>
        <stp/>
        <stp>BDP|11522162893242574444</stp>
        <tr r="X185" s="2"/>
      </tp>
      <tp t="s">
        <v>#N/A Requesting Data...3987903428</v>
        <stp/>
        <stp>BDP|12766436554635401957</stp>
        <tr r="X59" s="2"/>
      </tp>
      <tp>
        <v>42.9</v>
        <stp/>
        <stp>BDP|1962099307139288539|22</stp>
        <stp>ABOMOATI AB Equity</stp>
        <stp>LAST_PRICE</stp>
        <tr r="C43" s="2"/>
        <tr r="B43" s="2"/>
      </tp>
      <tp t="s">
        <v>#N/A Requesting Data...4006581033</v>
        <stp/>
        <stp>BDP|10523958246211657301</stp>
        <tr r="I137" s="2"/>
      </tp>
      <tp t="s">
        <v>#N/A Requesting Data...3915916886</v>
        <stp/>
        <stp>BDP|16685612686841429652</stp>
        <tr r="S10" s="2"/>
      </tp>
      <tp t="s">
        <v>#N/A Requesting Data...4117426432</v>
        <stp/>
        <stp>BDP|17298546967958964387</stp>
        <tr r="T85" s="2"/>
      </tp>
      <tp t="s">
        <v>#N/A Requesting Data...4268911875</v>
        <stp/>
        <stp>BDP|16446926888058643082</stp>
        <tr r="U106" s="2"/>
      </tp>
      <tp t="s">
        <v>#N/A Requesting Data...3813310658</v>
        <stp/>
        <stp>BDP|11155078557343412865</stp>
        <tr r="T218" s="2"/>
      </tp>
      <tp t="s">
        <v>#N/A Requesting Data...3774230194</v>
        <stp/>
        <stp>BDP|18257710042006611248</stp>
        <tr r="X110" s="2"/>
      </tp>
      <tp t="s">
        <v>#N/A Requesting Data...3960210980</v>
        <stp/>
        <stp>BDP|17967813934460831373</stp>
        <tr r="O285" s="2"/>
      </tp>
      <tp t="s">
        <v>#N/A Requesting Data...3916944974</v>
        <stp/>
        <stp>BDP|13205538861876029934</stp>
        <tr r="I216" s="2"/>
      </tp>
      <tp t="s">
        <v>#N/A Requesting Data...4273860504</v>
        <stp/>
        <stp>BDP|14596272911430756866</stp>
        <tr r="O148" s="2"/>
      </tp>
      <tp t="s">
        <v>#N/A Requesting Data...4040873998</v>
        <stp/>
        <stp>BDP|14373392800930835808</stp>
        <tr r="X148" s="2"/>
      </tp>
      <tp t="s">
        <v>#N/A Requesting Data...3891844440</v>
        <stp/>
        <stp>BDP|17782873410473727259</stp>
        <tr r="S236" s="2"/>
      </tp>
      <tp t="s">
        <v>#N/A Requesting Data...4199897792</v>
        <stp/>
        <stp>BDP|15836549204437911840</stp>
        <tr r="O254" s="2"/>
      </tp>
      <tp t="s">
        <v>#N/A Requesting Data...3917900973</v>
        <stp/>
        <stp>BDP|14042727154180090937</stp>
        <tr r="U230" s="2"/>
      </tp>
      <tp t="s">
        <v>#N/A Requesting Data...4105224212</v>
        <stp/>
        <stp>BDP|18363411913851605328</stp>
        <tr r="U281" s="2"/>
      </tp>
      <tp t="s">
        <v>#N/A Requesting Data...4102813981</v>
        <stp/>
        <stp>BDP|16652429056560367849</stp>
        <tr r="P214" s="2"/>
      </tp>
      <tp t="s">
        <v>#N/A Requesting Data...3799268301</v>
        <stp/>
        <stp>BDP|16739711062428481044</stp>
        <tr r="P285" s="2"/>
      </tp>
      <tp t="s">
        <v>#N/A Requesting Data...4012468759</v>
        <stp/>
        <stp>BDP|11655106621388406578</stp>
        <tr r="T111" s="2"/>
      </tp>
      <tp t="s">
        <v>#N/A Requesting Data...4223626577</v>
        <stp/>
        <stp>BDP|12949872402782881707</stp>
        <tr r="U100" s="2"/>
      </tp>
      <tp t="s">
        <v>#N/A Requesting Data...3973940589</v>
        <stp/>
        <stp>BDP|13820860486314949857</stp>
        <tr r="S48" s="2"/>
      </tp>
      <tp t="s">
        <v>#N/A Requesting Data...4098595765</v>
        <stp/>
        <stp>BDP|10320414792502550014</stp>
        <tr r="I124" s="2"/>
      </tp>
      <tp t="s">
        <v>#N/A Requesting Data...4202190544</v>
        <stp/>
        <stp>BDP|15743460425469577555</stp>
        <tr r="X197" s="2"/>
      </tp>
      <tp t="s">
        <v>#N/A Requesting Data...3871811340</v>
        <stp/>
        <stp>BDP|14290853516290092263</stp>
        <tr r="P259" s="2"/>
      </tp>
      <tp t="s">
        <v>#N/A Requesting Data...4053981328</v>
        <stp/>
        <stp>BDP|16436051806590509952</stp>
        <tr r="P93" s="2"/>
      </tp>
      <tp t="s">
        <v>#N/A Requesting Data...4145120919</v>
        <stp/>
        <stp>BDP|11588649312470232962</stp>
        <tr r="O6" s="2"/>
      </tp>
      <tp t="s">
        <v>#N/A Requesting Data...4068024450</v>
        <stp/>
        <stp>BDP|11494465376089592477</stp>
        <tr r="I100" s="2"/>
      </tp>
      <tp t="s">
        <v>#N/A Requesting Data...4037133094</v>
        <stp/>
        <stp>BDP|16901167966969671798</stp>
        <tr r="S211" s="2"/>
      </tp>
      <tp t="s">
        <v>#N/A N/A</v>
        <stp/>
        <stp>BDH|10959271199793722729</stp>
        <tr r="V9" s="2"/>
      </tp>
      <tp>
        <v>32.053400000000003</v>
        <stp/>
        <stp>BDP|11025783644426000813|22</stp>
        <stp>MEH AB Equity</stp>
        <stp>VWAP</stp>
        <tr r="N152" s="2"/>
      </tp>
      <tp t="s">
        <v>#N/A N/A</v>
        <stp/>
        <stp>BDH|10312506287603724182</stp>
        <tr r="V56" s="2"/>
      </tp>
      <tp t="s">
        <v>#N/A N/A</v>
        <stp/>
        <stp>BDH|17334983639372975018</stp>
        <tr r="V211" s="2"/>
      </tp>
      <tp>
        <v>-18.338799999999999</v>
        <stp/>
        <stp>BDP|9548762473915987119|22</stp>
        <stp>NAYIFAT AB Equity</stp>
        <stp>CHG_PCT_YTD_RT</stp>
        <tr r="F121" s="2"/>
      </tp>
      <tp>
        <v>26.18</v>
        <stp/>
        <stp>BDP|17754202406793775218|22</stp>
        <stp>SAUDIRE AB Equity</stp>
        <stp>YEST_LAST_TRADE</stp>
        <tr r="G167" s="2"/>
      </tp>
      <tp>
        <v>5.87</v>
        <stp/>
        <stp>BDP|11141647273691139997|22</stp>
        <stp>AOTHAIM AB Equity</stp>
        <stp>YEST_LAST_TRADE</stp>
        <tr r="G82" s="2"/>
      </tp>
      <tp>
        <v>56.05</v>
        <stp/>
        <stp>BDP|10727519594890056094|22</stp>
        <stp>SPM AB Equity</stp>
        <stp>BID</stp>
        <tr r="Q215" s="2"/>
      </tp>
      <tp>
        <v>7.33</v>
        <stp/>
        <stp>BDP|13994357417814840999|22</stp>
        <stp>SPPC AB Equity</stp>
        <stp>ASK</stp>
        <tr r="R40" s="2"/>
      </tp>
      <tp>
        <v>17.46</v>
        <stp/>
        <stp>BDP|13517785292449050143|22</stp>
        <stp>MEPC AB Equity</stp>
        <stp>LOW</stp>
        <tr r="L197" s="2"/>
      </tp>
      <tp>
        <v>39.94</v>
        <stp/>
        <stp>BDP|17694061780726146209|22</stp>
        <stp>ALAMAR AB Equity</stp>
        <stp>LAST_PRICE</stp>
        <tr r="B77" s="2"/>
        <tr r="C77" s="2"/>
      </tp>
      <tp>
        <v>13.1875</v>
        <stp/>
        <stp>BDP|7086682912655988326|22</stp>
        <stp>GACO AB Equity</stp>
        <stp>VWAP</stp>
        <tr r="N142" s="2"/>
      </tp>
      <tp>
        <v>14.25</v>
        <stp/>
        <stp>BDP|14356358211507529482|22</stp>
        <stp>SAAC AB Equity</stp>
        <stp>BID</stp>
        <tr r="Q17" s="2"/>
      </tp>
      <tp>
        <v>66.150000000000006</v>
        <stp/>
        <stp>BDP|8326100913409436088|22</stp>
        <stp>RJHI AB Equity</stp>
        <stp>HIGH</stp>
        <tr r="M12" s="2"/>
      </tp>
      <tp>
        <v>35.26</v>
        <stp/>
        <stp>BDP|15434597767669963932|22</stp>
        <stp>UIHC AB Equity</stp>
        <stp>LOW</stp>
        <tr r="L119" s="2"/>
      </tp>
      <tp>
        <v>8.9339999999999993</v>
        <stp/>
        <stp>BDP|7765292407104575329|22</stp>
        <stp>AICC AB Equity</stp>
        <stp>VWAP</stp>
        <tr r="N168" s="2"/>
      </tp>
      <tp>
        <v>35.32</v>
        <stp/>
        <stp>BDP|13124238152774253670|22</stp>
        <stp>UIHC AB Equity</stp>
        <stp>BID</stp>
        <tr r="Q119" s="2"/>
      </tp>
      <tp>
        <v>23.38</v>
        <stp/>
        <stp>BDP|12518715286743855511|22</stp>
        <stp>FPCO AB Equity</stp>
        <stp>ASK</stp>
        <tr r="R147" s="2"/>
      </tp>
      <tp>
        <v>6.3</v>
        <stp/>
        <stp>BDP|173725437466362713|22</stp>
        <stp>SMASCO AB Equity</stp>
        <stp>LAST_PRICE</stp>
        <tr r="C35" s="2"/>
        <tr r="B35" s="2"/>
      </tp>
      <tp>
        <v>-1.624500036239624</v>
        <stp/>
        <stp>BDP|4882208657476638034|22</stp>
        <stp>FIRSTMIL AB Equity</stp>
        <stp>RT_PX_CHG_PCT_1D</stp>
        <tr r="D135" s="2"/>
      </tp>
      <tp>
        <v>0.625</v>
        <stp/>
        <stp>BDP|5679422895681665944|22</stp>
        <stp>ALKATHIR AB Equity</stp>
        <stp>RT_PX_CHG_PCT_1D</stp>
        <tr r="D203" s="2"/>
      </tp>
      <tp>
        <v>0.34150001406669617</v>
        <stp/>
        <stp>BDP|5517370956933511455|22</stp>
        <stp>EQUIPMEN AB Equity</stp>
        <stp>RT_PX_CHG_PCT_1D</stp>
        <tr r="D151" s="2"/>
      </tp>
      <tp t="s">
        <v>#N/A Requesting Data...4180742713</v>
        <stp/>
        <stp>BDP|13289975223985856178</stp>
        <tr r="P286" s="2"/>
      </tp>
      <tp t="s">
        <v>#N/A Requesting Data...3947566966</v>
        <stp/>
        <stp>BDP|14483812183988809072</stp>
        <tr r="H195" s="2"/>
      </tp>
      <tp t="s">
        <v>#N/A Requesting Data...4084681475</v>
        <stp/>
        <stp>BDP|14429232949256719806</stp>
        <tr r="X122" s="2"/>
      </tp>
      <tp t="s">
        <v>#N/A Requesting Data...3892837732</v>
        <stp/>
        <stp>BDP|10639566563327306881</stp>
        <tr r="I243" s="2"/>
      </tp>
      <tp t="s">
        <v>#N/A Requesting Data...4180506180</v>
        <stp/>
        <stp>BDP|16856972423447624627</stp>
        <tr r="X243" s="2"/>
      </tp>
      <tp t="s">
        <v>#N/A Requesting Data...4242916954</v>
        <stp/>
        <stp>BDP|11149578244129168580</stp>
        <tr r="O121" s="2"/>
      </tp>
      <tp t="s">
        <v>#N/A Requesting Data...3905300655</v>
        <stp/>
        <stp>BDP|14359982772863164530</stp>
        <tr r="X274" s="2"/>
      </tp>
      <tp t="s">
        <v>#N/A Requesting Data...4292899474</v>
        <stp/>
        <stp>BDP|13491775599096845794</stp>
        <tr r="S292" s="2"/>
      </tp>
      <tp t="s">
        <v>#N/A Requesting Data...4111645693</v>
        <stp/>
        <stp>BDP|11747768046429974758</stp>
        <tr r="H213" s="2"/>
      </tp>
      <tp t="s">
        <v>#N/A Requesting Data...4098708163</v>
        <stp/>
        <stp>BDP|14139183385717709601</stp>
        <tr r="S179" s="2"/>
      </tp>
      <tp t="s">
        <v>#N/A Requesting Data...4177200293</v>
        <stp/>
        <stp>BDP|18140349967514122591</stp>
        <tr r="X257" s="2"/>
      </tp>
      <tp t="s">
        <v>#N/A Requesting Data...3929720381</v>
        <stp/>
        <stp>BDP|15865116835202411922</stp>
        <tr r="S284" s="2"/>
      </tp>
      <tp t="s">
        <v>#N/A Requesting Data...4217578563</v>
        <stp/>
        <stp>BDP|10492003099453539652</stp>
        <tr r="P24" s="2"/>
      </tp>
      <tp t="s">
        <v>#N/A Requesting Data...4082863613</v>
        <stp/>
        <stp>BDP|12699370426979861629</stp>
        <tr r="T145" s="2"/>
      </tp>
      <tp t="s">
        <v>#N/A Requesting Data...4258181888</v>
        <stp/>
        <stp>BDP|16334315588942220353</stp>
        <tr r="I4" s="2"/>
      </tp>
      <tp t="s">
        <v>#N/A Requesting Data...4168064269</v>
        <stp/>
        <stp>BDP|15276404748379501020</stp>
        <tr r="T137" s="2"/>
      </tp>
      <tp t="s">
        <v>#N/A Requesting Data...4014709289</v>
        <stp/>
        <stp>BDP|13147739239033701802</stp>
        <tr r="U209" s="2"/>
      </tp>
      <tp t="s">
        <v>#N/A Requesting Data...4076850334</v>
        <stp/>
        <stp>BDP|16747990257165135349</stp>
        <tr r="S118" s="2"/>
      </tp>
      <tp t="s">
        <v>#N/A Requesting Data...4013655895</v>
        <stp/>
        <stp>BDP|13352991835233426679</stp>
        <tr r="X114" s="2"/>
      </tp>
      <tp t="s">
        <v>#N/A Requesting Data...4119679319</v>
        <stp/>
        <stp>BDP|10458909020501030689</stp>
        <tr r="I132" s="2"/>
      </tp>
      <tp t="s">
        <v>#N/A Requesting Data...4092033125</v>
        <stp/>
        <stp>BDP|16225926706154932736</stp>
        <tr r="X194" s="2"/>
      </tp>
      <tp>
        <v>-17.769500000000001</v>
        <stp/>
        <stp>BDP|1326957585201841637|22</stp>
        <stp>AWPT AB Equity</stp>
        <stp>CHG_PCT_YTD_RT</stp>
        <tr r="F290" s="2"/>
      </tp>
      <tp t="s">
        <v>#N/A Requesting Data...3973397523</v>
        <stp/>
        <stp>BDP|10757692424978766027</stp>
        <tr r="P262" s="2"/>
      </tp>
      <tp t="s">
        <v>#N/A Requesting Data...4287975587</v>
        <stp/>
        <stp>BDP|14851096394766818726</stp>
        <tr r="I107" s="2"/>
      </tp>
      <tp t="s">
        <v>#N/A Requesting Data...4037834432</v>
        <stp/>
        <stp>BDP|11570003151761358996</stp>
        <tr r="X235" s="2"/>
      </tp>
      <tp t="s">
        <v>#N/A Requesting Data...3997360236</v>
        <stp/>
        <stp>BDP|13433235715495352908</stp>
        <tr r="X155" s="2"/>
      </tp>
      <tp t="s">
        <v>#N/A Requesting Data...4049960376</v>
        <stp/>
        <stp>BDP|16126377158085673995</stp>
        <tr r="O46" s="2"/>
      </tp>
      <tp t="s">
        <v>#N/A Requesting Data...4187851843</v>
        <stp/>
        <stp>BDP|11082373186390664674</stp>
        <tr r="P248" s="2"/>
      </tp>
      <tp t="s">
        <v>#N/A Requesting Data...4245098839</v>
        <stp/>
        <stp>BDP|14094051136042564962</stp>
        <tr r="O188" s="2"/>
      </tp>
      <tp t="s">
        <v>#N/A Requesting Data...4101397152</v>
        <stp/>
        <stp>BDP|15323240294363125120</stp>
        <tr r="O70" s="2"/>
      </tp>
      <tp t="s">
        <v>#N/A Requesting Data...3998993643</v>
        <stp/>
        <stp>BDP|12827284301688227430</stp>
        <tr r="O275" s="2"/>
      </tp>
      <tp t="s">
        <v>#N/A Requesting Data...4076133584</v>
        <stp/>
        <stp>BDP|11109502486762027272</stp>
        <tr r="T100" s="2"/>
      </tp>
      <tp t="s">
        <v>#N/A Requesting Data...3919984850</v>
        <stp/>
        <stp>BDP|17844698253850738852</stp>
        <tr r="T131" s="2"/>
      </tp>
      <tp t="s">
        <v>#N/A Requesting Data...4036505569</v>
        <stp/>
        <stp>BDP|11491377435374036959</stp>
        <tr r="O66" s="2"/>
      </tp>
      <tp t="s">
        <v>#N/A Requesting Data...3886402085</v>
        <stp/>
        <stp>BDP|16894082794882448133</stp>
        <tr r="I142" s="2"/>
      </tp>
      <tp>
        <v>5.14</v>
        <stp/>
        <stp>BDP|9494525341100744393|22</stp>
        <stp>KAYAN AB Equity</stp>
        <stp>LOW</stp>
        <tr r="L198" s="2"/>
      </tp>
      <tp>
        <v>23.5715</v>
        <stp/>
        <stp>BDP|13512724045260875725|22</stp>
        <stp>SCH AB Equity</stp>
        <stp>VWAP</stp>
        <tr r="N47" s="2"/>
      </tp>
      <tp t="s">
        <v>#N/A Requesting Data...4000525737</v>
        <stp/>
        <stp>BDP|14204407892512540770</stp>
        <tr r="X237" s="2"/>
      </tp>
      <tp>
        <v>23.1</v>
        <stp/>
        <stp>BDP|1706540696339996154|22</stp>
        <stp>ARCCO AB Equity</stp>
        <stp>ASK</stp>
        <tr r="R231" s="2"/>
      </tp>
      <tp t="s">
        <v>#N/A Requesting Data...4271220462</v>
        <stp/>
        <stp>BDP|14254594308425374859</stp>
        <tr r="I154" s="2"/>
      </tp>
      <tp>
        <v>60.5</v>
        <stp/>
        <stp>BDP|9424705074284893376|22</stp>
        <stp>AVALONPH AB Equity</stp>
        <stp>LAST_PRICE</stp>
        <tr r="B247" s="2"/>
        <tr r="C247" s="2"/>
      </tp>
      <tp t="s">
        <v>#N/A Requesting Data...4018384467</v>
        <stp/>
        <stp>BDP|13972710799845288467</stp>
        <tr r="I53" s="2"/>
      </tp>
      <tp t="s">
        <v>#N/A Requesting Data...4186192671</v>
        <stp/>
        <stp>BDP|16750362467716125925</stp>
        <tr r="O179" s="2"/>
      </tp>
      <tp t="s">
        <v>#N/A Requesting Data...4199894838</v>
        <stp/>
        <stp>BDP|17192248535613756927</stp>
        <tr r="T27" s="2"/>
      </tp>
      <tp t="s">
        <v>#N/A Requesting Data...4221264175</v>
        <stp/>
        <stp>BDP|11299043950800031835</stp>
        <tr r="H281" s="2"/>
      </tp>
      <tp t="s">
        <v>#N/A Requesting Data...4217173325</v>
        <stp/>
        <stp>BDP|14863527172853978951</stp>
        <tr r="O224" s="2"/>
      </tp>
      <tp t="s">
        <v>#N/A Requesting Data...4168828860</v>
        <stp/>
        <stp>BDP|10183204439395556897</stp>
        <tr r="O102" s="2"/>
      </tp>
      <tp t="s">
        <v>#N/A Requesting Data...3964800032</v>
        <stp/>
        <stp>BDP|12397148550653130924</stp>
        <tr r="P158" s="2"/>
      </tp>
      <tp t="s">
        <v>#N/A Requesting Data...4292247462</v>
        <stp/>
        <stp>BDP|13243701242644246863</stp>
        <tr r="T47" s="2"/>
      </tp>
      <tp t="s">
        <v>#N/A Requesting Data...3919844234</v>
        <stp/>
        <stp>BDP|14770531881843517672</stp>
        <tr r="S235" s="2"/>
      </tp>
      <tp t="s">
        <v>#N/A Requesting Data...4188633256</v>
        <stp/>
        <stp>BDP|13859725356559330484</stp>
        <tr r="S212" s="2"/>
      </tp>
      <tp t="s">
        <v>#N/A Requesting Data...4054421208</v>
        <stp/>
        <stp>BDP|17206269895988435821</stp>
        <tr r="T105" s="2"/>
      </tp>
      <tp t="s">
        <v>#N/A Requesting Data...4100154565</v>
        <stp/>
        <stp>BDP|10311443390890028109</stp>
        <tr r="T239" s="2"/>
      </tp>
      <tp t="s">
        <v>#N/A Requesting Data...4127918449</v>
        <stp/>
        <stp>BDP|12860617678598225740</stp>
        <tr r="T2" s="2"/>
      </tp>
      <tp t="s">
        <v>#N/A Requesting Data...3933950892</v>
        <stp/>
        <stp>BDP|13777407736290192861</stp>
        <tr r="O52" s="2"/>
      </tp>
      <tp t="s">
        <v>#N/A Requesting Data...4113784709</v>
        <stp/>
        <stp>BDP|11462228468938811109</stp>
        <tr r="H148" s="2"/>
      </tp>
      <tp t="s">
        <v>#N/A Requesting Data...4216554335</v>
        <stp/>
        <stp>BDP|16686949080472468900</stp>
        <tr r="I284" s="2"/>
      </tp>
      <tp t="s">
        <v>#N/A N/A</v>
        <stp/>
        <stp>BDH|18156545605822830391</stp>
        <tr r="V76" s="2"/>
      </tp>
      <tp t="s">
        <v>#N/A N/A</v>
        <stp/>
        <stp>BDH|11435427685680048104</stp>
        <tr r="V183" s="2"/>
      </tp>
      <tp t="s">
        <v>#N/A N/A</v>
        <stp/>
        <stp>BDH|12095907062276496751</stp>
        <tr r="V282" s="2"/>
      </tp>
      <tp t="s">
        <v>#N/A N/A</v>
        <stp/>
        <stp>BDH|12244055990037450014</stp>
        <tr r="V134" s="2"/>
      </tp>
      <tp>
        <v>12.218299999999999</v>
        <stp/>
        <stp>BDP|11046951383100133052|22</stp>
        <stp>KEC AB Equity</stp>
        <stp>VWAP</stp>
        <tr r="N263" s="2"/>
      </tp>
      <tp t="s">
        <v>#N/A N/A</v>
        <stp/>
        <stp>BDH|10634894699605400870</stp>
        <tr r="V99" s="2"/>
      </tp>
      <tp t="s">
        <v>#N/A N/A</v>
        <stp/>
        <stp>BDH|15039877462345635264</stp>
        <tr r="V84" s="2"/>
      </tp>
      <tp t="s">
        <v>#N/A N/A</v>
        <stp/>
        <stp>BDH|13317377244871091952</stp>
        <tr r="V105" s="2"/>
      </tp>
      <tp>
        <v>17.396899999999999</v>
        <stp/>
        <stp>BDP|12619171909393111977|22</stp>
        <stp>GAS AB Equity</stp>
        <stp>VWAP</stp>
        <tr r="N30" s="2"/>
      </tp>
      <tp>
        <v>12.3</v>
        <stp/>
        <stp>BDP|13960761046327862450|22</stp>
        <stp>KEC AB Equity</stp>
        <stp>OPEN</stp>
        <tr r="K263" s="2"/>
      </tp>
      <tp t="s">
        <v>#N/A N/A</v>
        <stp/>
        <stp>BDH|15477385197691970257</stp>
        <tr r="V242" s="2"/>
      </tp>
      <tp>
        <v>9.3910999999999998</v>
        <stp/>
        <stp>BDP|12955465489309795701|22</stp>
        <stp>SAICO AB Equity</stp>
        <stp>CHG_PCT_1M_RT</stp>
        <tr r="E186" s="2"/>
      </tp>
      <tp>
        <v>54.5</v>
        <stp/>
        <stp>BDP|2382880345442988522|22</stp>
        <stp>FIRSTMIL AB Equity</stp>
        <stp>LAST_PRICE</stp>
        <tr r="C135" s="2"/>
        <tr r="B135" s="2"/>
      </tp>
      <tp t="s">
        <v>#N/A N/A</v>
        <stp/>
        <stp>BDH|13701442135691972952</stp>
        <tr r="V60" s="2"/>
      </tp>
      <tp>
        <v>-5.25</v>
        <stp/>
        <stp>BDP|17092551807037101288|22</stp>
        <stp>SACCO AB Equity</stp>
        <stp>CHG_PCT_1M_RT</stp>
        <tr r="E229" s="2"/>
      </tp>
      <tp>
        <v>24.270700000000001</v>
        <stp/>
        <stp>BDP|11600608543085959108|22</stp>
        <stp>BCI AB Equity</stp>
        <stp>VWAP</stp>
        <tr r="N201" s="2"/>
      </tp>
      <tp>
        <v>1.1202000000000001</v>
        <stp/>
        <stp>BDP|7567872878956565812|22</stp>
        <stp>NAYIFAT AB Equity</stp>
        <stp>CHG_PCT_1M_RT</stp>
        <tr r="E121" s="2"/>
      </tp>
      <tp>
        <v>3.36</v>
        <stp/>
        <stp>BDP|17369911247109531857|22</stp>
        <stp>UCA AB Equity</stp>
        <stp>ASK</stp>
        <tr r="R181" s="2"/>
      </tp>
      <tp>
        <v>8.56</v>
        <stp/>
        <stp>BDP|10378285150175805464|22</stp>
        <stp>AICC AB Equity</stp>
        <stp>LOW</stp>
        <tr r="L168" s="2"/>
      </tp>
      <tp>
        <v>49.54</v>
        <stp/>
        <stp>BDP|12224935410669551951|22</stp>
        <stp>ATAA AB Equity</stp>
        <stp>LOW</stp>
        <tr r="L75" s="2"/>
      </tp>
      <tp>
        <v>36.1</v>
        <stp/>
        <stp>BDP|8459901705134782772|22</stp>
        <stp>UIHC AB Equity</stp>
        <stp>HIGH</stp>
        <tr r="M119" s="2"/>
      </tp>
      <tp>
        <v>27.0379</v>
        <stp/>
        <stp>BDP|9146013053748057368|22</stp>
        <stp>ALCO AB Equity</stp>
        <stp>VWAP</stp>
        <tr r="N237" s="2"/>
      </tp>
      <tp>
        <v>7.64</v>
        <stp/>
        <stp>BDP|12139627571856678183|22</stp>
        <stp>MRNA AB Equity</stp>
        <stp>ASK</stp>
        <tr r="R124" s="2"/>
      </tp>
      <tp>
        <v>32.700000000000003</v>
        <stp/>
        <stp>BDP|429353075272575158|22</stp>
        <stp>LUMI AB Equity</stp>
        <stp>LAST_PRICE</stp>
        <tr r="B280" s="2"/>
        <tr r="C280" s="2"/>
      </tp>
      <tp>
        <v>-3.1907000000000001</v>
        <stp/>
        <stp>BDP|12079935053182235978|22</stp>
        <stp>SCERCO AB Equity</stp>
        <stp>CHG_PCT_1M_RT</stp>
        <tr r="E20" s="2"/>
      </tp>
      <tp>
        <v>0.34939999999999999</v>
        <stp/>
        <stp>BDP|461659776320548248|22</stp>
        <stp>MODERNMI AB Equity</stp>
        <stp>CHG_PCT_YTD_RT</stp>
        <tr r="F137" s="2"/>
      </tp>
      <tp>
        <v>32.4</v>
        <stp/>
        <stp>BDP|15007583490010440314|22</stp>
        <stp>HB AB Equity</stp>
        <stp>OPEN</stp>
        <tr r="K139" s="2"/>
      </tp>
      <tp>
        <v>0.47389999032020569</v>
        <stp/>
        <stp>BDP|6710538298131823404|22</stp>
        <stp>SULAIMAN AB Equity</stp>
        <stp>RT_PX_CHG_PCT_1D</stp>
        <tr r="D153" s="2"/>
      </tp>
      <tp t="s">
        <v>#N/A Requesting Data...4024971149</v>
        <stp/>
        <stp>BDP|16467209012611758982</stp>
        <tr r="O232" s="2"/>
      </tp>
      <tp t="s">
        <v>#N/A Requesting Data...3972878709</v>
        <stp/>
        <stp>BDP|11018495831839131201</stp>
        <tr r="O248" s="2"/>
      </tp>
      <tp t="s">
        <v>#N/A Requesting Data...3935758291</v>
        <stp/>
        <stp>BDP|17923926721554254515</stp>
        <tr r="S272" s="2"/>
      </tp>
      <tp t="s">
        <v>#N/A Requesting Data...4059379827</v>
        <stp/>
        <stp>BDP|10542535772076443994</stp>
        <tr r="U267" s="2"/>
      </tp>
      <tp t="s">
        <v>#N/A Requesting Data...4118057580</v>
        <stp/>
        <stp>BDP|15754941163161126683</stp>
        <tr r="X246" s="2"/>
      </tp>
      <tp t="s">
        <v>#N/A Requesting Data...4012753439</v>
        <stp/>
        <stp>BDP|14906248466068519560</stp>
        <tr r="X156" s="2"/>
      </tp>
      <tp t="s">
        <v>#N/A Requesting Data...4106679116</v>
        <stp/>
        <stp>BDP|12511380082750322447</stp>
        <tr r="I264" s="2"/>
      </tp>
      <tp t="s">
        <v>#N/A Requesting Data...4015970219</v>
        <stp/>
        <stp>BDP|17372140698100258253</stp>
        <tr r="T120" s="2"/>
      </tp>
      <tp t="s">
        <v>#N/A Requesting Data...4193650582</v>
        <stp/>
        <stp>BDP|15627294182044267649</stp>
        <tr r="S169" s="2"/>
      </tp>
      <tp t="s">
        <v>#N/A Requesting Data...4192620664</v>
        <stp/>
        <stp>BDP|11308956118864639032</stp>
        <tr r="S103" s="2"/>
      </tp>
      <tp t="s">
        <v>#N/A Requesting Data...3954289048</v>
        <stp/>
        <stp>BDP|17076567399286139048</stp>
        <tr r="X189" s="2"/>
      </tp>
      <tp t="s">
        <v>#N/A Requesting Data...4063362496</v>
        <stp/>
        <stp>BDP|14494946047424505088</stp>
        <tr r="O60" s="2"/>
      </tp>
      <tp t="s">
        <v>#N/A Requesting Data...3976176180</v>
        <stp/>
        <stp>BDP|17547136498534458679</stp>
        <tr r="X168" s="2"/>
      </tp>
      <tp t="s">
        <v>#N/A Requesting Data...3952348894</v>
        <stp/>
        <stp>BDP|12474722384898775881</stp>
        <tr r="H106" s="2"/>
      </tp>
      <tp t="s">
        <v>#N/A Requesting Data...4198003520</v>
        <stp/>
        <stp>BDP|16664834278790642469</stp>
        <tr r="S161" s="2"/>
      </tp>
      <tp t="s">
        <v>#N/A Requesting Data...3948584841</v>
        <stp/>
        <stp>BDP|15040013999466096752</stp>
        <tr r="P34" s="2"/>
      </tp>
      <tp t="s">
        <v>#N/A Requesting Data...4275054308</v>
        <stp/>
        <stp>BDP|13684432899433122001</stp>
        <tr r="O47" s="2"/>
      </tp>
      <tp t="s">
        <v>#N/A Requesting Data...4032401404</v>
        <stp/>
        <stp>BDP|12933749059384829919</stp>
        <tr r="O201" s="2"/>
      </tp>
      <tp>
        <v>43.431600000000003</v>
        <stp/>
        <stp>BDP|16908684787033653195|22</stp>
        <stp>STC AB Equity</stp>
        <stp>VWAP</stp>
        <tr r="N275" s="2"/>
      </tp>
      <tp t="s">
        <v>#N/A Requesting Data...3967428794</v>
        <stp/>
        <stp>BDP|16977418357272747848</stp>
        <tr r="P185" s="2"/>
      </tp>
      <tp t="s">
        <v>#N/A Requesting Data...4222675152</v>
        <stp/>
        <stp>BDP|12225744442379093589</stp>
        <tr r="I271" s="2"/>
      </tp>
      <tp t="s">
        <v>#N/A Requesting Data...4085172923</v>
        <stp/>
        <stp>BDP|12347071008818207729</stp>
        <tr r="I82" s="2"/>
      </tp>
      <tp t="s">
        <v>#N/A Requesting Data...4127347399</v>
        <stp/>
        <stp>BDP|18416067889778099543</stp>
        <tr r="P253" s="2"/>
      </tp>
      <tp t="s">
        <v>#N/A Requesting Data...4044003229</v>
        <stp/>
        <stp>BDP|14832950200385085521</stp>
        <tr r="P49" s="2"/>
      </tp>
      <tp t="s">
        <v>#N/A Requesting Data...4074928725</v>
        <stp/>
        <stp>BDP|16039305334609294294</stp>
        <tr r="S180" s="2"/>
      </tp>
      <tp t="s">
        <v>#N/A Requesting Data...4021630993</v>
        <stp/>
        <stp>BDP|12509931334263565684</stp>
        <tr r="S283" s="2"/>
      </tp>
      <tp>
        <v>93</v>
        <stp/>
        <stp>BDP|2599273168886040793|22</stp>
        <stp>NAHDI AB Equity</stp>
        <stp>LOW</stp>
        <tr r="L86" s="2"/>
      </tp>
      <tp t="s">
        <v>#N/A Requesting Data...4173873134</v>
        <stp/>
        <stp>BDP|13946842433023790678</stp>
        <tr r="S34" s="2"/>
      </tp>
      <tp t="s">
        <v>#N/A Requesting Data...4140681547</v>
        <stp/>
        <stp>BDP|17243122161354734981</stp>
        <tr r="H289" s="2"/>
      </tp>
      <tp t="s">
        <v>#N/A Requesting Data...3970460015</v>
        <stp/>
        <stp>BDP|14761213276609622578</stp>
        <tr r="X138" s="2"/>
      </tp>
      <tp t="s">
        <v>#N/A Requesting Data...4106818800</v>
        <stp/>
        <stp>BDP|12113411155339353774</stp>
        <tr r="P66" s="2"/>
      </tp>
      <tp t="s">
        <v>#N/A Requesting Data...4118624021</v>
        <stp/>
        <stp>BDP|17189461618206873976</stp>
        <tr r="P129" s="2"/>
      </tp>
      <tp t="s">
        <v>#N/A Requesting Data...4049188107</v>
        <stp/>
        <stp>BDP|17242100917082585805</stp>
        <tr r="P87" s="2"/>
      </tp>
      <tp t="s">
        <v>#N/A Requesting Data...4084750220</v>
        <stp/>
        <stp>BDP|14416549283972780647</stp>
        <tr r="O229" s="2"/>
      </tp>
      <tp>
        <v>1.0163</v>
        <stp/>
        <stp>BDP|12643316382784031884|22</stp>
        <stp>JADWA AB Equity</stp>
        <stp>CHG_PCT_1M_RT</stp>
        <tr r="E101" s="2"/>
      </tp>
      <tp t="s">
        <v>#N/A Requesting Data...4228106651</v>
        <stp/>
        <stp>BDP|11043298070378867120</stp>
        <tr r="X166" s="2"/>
      </tp>
      <tp t="s">
        <v>#N/A Requesting Data...4228607258</v>
        <stp/>
        <stp>BDP|16368435841738551377</stp>
        <tr r="I125" s="2"/>
      </tp>
      <tp t="s">
        <v>#N/A Requesting Data...4027292065</v>
        <stp/>
        <stp>BDP|17902270761266980841</stp>
        <tr r="T214" s="2"/>
      </tp>
      <tp t="s">
        <v>#N/A Requesting Data...4184403473</v>
        <stp/>
        <stp>BDP|15744583208625098852</stp>
        <tr r="I195" s="2"/>
      </tp>
      <tp t="s">
        <v>#N/A Requesting Data...4255145467</v>
        <stp/>
        <stp>BDP|13521707583902794339</stp>
        <tr r="U248" s="2"/>
      </tp>
      <tp t="s">
        <v>#N/A Requesting Data...4015207699</v>
        <stp/>
        <stp>BDP|18276145156012261301</stp>
        <tr r="H264" s="2"/>
      </tp>
      <tp t="s">
        <v>#N/A Requesting Data...3981115436</v>
        <stp/>
        <stp>BDP|16342806387623510847</stp>
        <tr r="S143" s="2"/>
      </tp>
      <tp t="s">
        <v>#N/A Requesting Data...4104720650</v>
        <stp/>
        <stp>BDP|16127595915447135897</stp>
        <tr r="P260" s="2"/>
      </tp>
      <tp t="s">
        <v>#N/A Requesting Data...4192054304</v>
        <stp/>
        <stp>BDP|16545910132770128124</stp>
        <tr r="I281" s="2"/>
      </tp>
      <tp t="s">
        <v>#N/A Requesting Data...4061935089</v>
        <stp/>
        <stp>BDP|18388044730025619349</stp>
        <tr r="O195" s="2"/>
      </tp>
      <tp t="s">
        <v>#N/A Requesting Data...4119034959</v>
        <stp/>
        <stp>BDP|10325845757007465715</stp>
        <tr r="H110" s="2"/>
      </tp>
      <tp t="s">
        <v>#N/A Requesting Data...4026152809</v>
        <stp/>
        <stp>BDP|12259648943269313427</stp>
        <tr r="O238" s="2"/>
      </tp>
      <tp t="s">
        <v>#N/A Requesting Data...4081596599</v>
        <stp/>
        <stp>BDP|16135831333210284076</stp>
        <tr r="X137" s="2"/>
      </tp>
      <tp t="s">
        <v>#N/A Requesting Data...4025046227</v>
        <stp/>
        <stp>BDP|12759218271029317300</stp>
        <tr r="I165" s="2"/>
      </tp>
      <tp t="s">
        <v>#N/A Requesting Data...4284368986</v>
        <stp/>
        <stp>BDP|13768910105704759302</stp>
        <tr r="U204" s="2"/>
      </tp>
      <tp t="s">
        <v>#N/A Requesting Data...4195206135</v>
        <stp/>
        <stp>BDP|15303200381612530007</stp>
        <tr r="S52" s="2"/>
      </tp>
      <tp t="s">
        <v>#N/A Requesting Data...4255630366</v>
        <stp/>
        <stp>BDP|12909175878911195805</stp>
        <tr r="O227" s="2"/>
      </tp>
      <tp t="s">
        <v>#N/A Requesting Data...4191451391</v>
        <stp/>
        <stp>BDP|12751641203028498126</stp>
        <tr r="H228" s="2"/>
      </tp>
      <tp t="s">
        <v>#N/A Requesting Data...4208330351</v>
        <stp/>
        <stp>BDP|10294122593092405711</stp>
        <tr r="I36" s="2"/>
      </tp>
      <tp t="s">
        <v>#N/A Requesting Data...4024590233</v>
        <stp/>
        <stp>BDP|17489469586927239104</stp>
        <tr r="O205" s="2"/>
      </tp>
      <tp t="s">
        <v>#N/A Requesting Data...4103818981</v>
        <stp/>
        <stp>BDP|11150847972032992185</stp>
        <tr r="U84" s="2"/>
      </tp>
      <tp t="s">
        <v>#N/A N/A</v>
        <stp/>
        <stp>BDH|13042375399612601695</stp>
        <tr r="V215" s="2"/>
      </tp>
      <tp>
        <v>1882428</v>
        <stp/>
        <stp>BDP|8926476462775352246|22</stp>
        <stp>MAHARAH AB Equity</stp>
        <stp>VOLUME</stp>
        <tr r="J34" s="2"/>
      </tp>
      <tp t="s">
        <v>#N/A N/A</v>
        <stp/>
        <stp>BDH|11599042381826381208</stp>
        <tr r="V78" s="2"/>
      </tp>
      <tp>
        <v>15.82</v>
        <stp/>
        <stp>BDP|5281123494545476787|22</stp>
        <stp>NADEC AB Equity</stp>
        <stp>ASK</stp>
        <tr r="R140" s="2"/>
      </tp>
      <tp>
        <v>1673194</v>
        <stp/>
        <stp>BDP|9755834554364093017|22</stp>
        <stp>ALARKAN AB Equity</stp>
        <stp>VOLUME</stp>
        <tr r="J255" s="2"/>
      </tp>
      <tp t="s">
        <v>#N/A N/A</v>
        <stp/>
        <stp>BDH|11005948540835890487</stp>
        <tr r="V151" s="2"/>
      </tp>
      <tp t="s">
        <v>#N/A N/A</v>
        <stp/>
        <stp>BDH|10190980524955821339</stp>
        <tr r="V286" s="2"/>
      </tp>
      <tp>
        <v>9.6644000000000005</v>
        <stp/>
        <stp>BDP|13637785811153138940|22</stp>
        <stp>EACCO AB Equity</stp>
        <stp>CHG_PCT_1M_RT</stp>
        <tr r="E213" s="2"/>
      </tp>
      <tp>
        <v>-18.531199999999998</v>
        <stp/>
        <stp>BDP|1239849250629951064|22</stp>
        <stp>APPC AB Equity</stp>
        <stp>CHG_PCT_YTD_RT</stp>
        <tr r="F233" s="2"/>
      </tp>
      <tp t="s">
        <v>#N/A N/A</v>
        <stp/>
        <stp>BDH|16430192622878676001</stp>
        <tr r="V290" s="2"/>
      </tp>
      <tp>
        <v>5.1256000000000004</v>
        <stp/>
        <stp>BDP|12837427392247878352|22</stp>
        <stp>WALAA AB Equity</stp>
        <stp>CHG_PCT_1M_RT</stp>
        <tr r="E169" s="2"/>
      </tp>
      <tp t="s">
        <v>#N/A N/A</v>
        <stp/>
        <stp>BDH|16383076013248316289</stp>
        <tr r="V36" s="2"/>
      </tp>
      <tp>
        <v>27.18</v>
        <stp/>
        <stp>BDP|7539949996222642588|22</stp>
        <stp>EACCO AB Equity</stp>
        <stp>ASK</stp>
        <tr r="R213" s="2"/>
      </tp>
      <tp>
        <v>9.01</v>
        <stp/>
        <stp>BDP|17036182855885001284|22</stp>
        <stp>NIC AB Equity</stp>
        <stp>LOW</stp>
        <tr r="L224" s="2"/>
      </tp>
      <tp>
        <v>99.8</v>
        <stp/>
        <stp>BDP|11738477279658110364|22</stp>
        <stp>DWF AB Equity</stp>
        <stp>BID</stp>
        <tr r="Q70" s="2"/>
      </tp>
      <tp>
        <v>11.28</v>
        <stp/>
        <stp>BDP|3515417330024857274|22</stp>
        <stp>CITYC AB Equity</stp>
        <stp>LAST_PRICE</stp>
        <tr r="C223" s="2"/>
        <tr r="B223" s="2"/>
      </tp>
      <tp>
        <v>23.83</v>
        <stp/>
        <stp>BDP|14696422206076111301|22</stp>
        <stp>SCH AB Equity</stp>
        <stp>ASK</stp>
        <tr r="R47" s="2"/>
      </tp>
      <tp>
        <v>43.36</v>
        <stp/>
        <stp>BDP|10928243590978159247|22</stp>
        <stp>STC AB Equity</stp>
        <stp>ASK</stp>
        <tr r="R275" s="2"/>
      </tp>
      <tp>
        <v>32.36</v>
        <stp/>
        <stp>BDP|14765693364197245114|22</stp>
        <stp>SABB AB Equity</stp>
        <stp>ASK</stp>
        <tr r="R7" s="2"/>
      </tp>
      <tp>
        <v>6.54</v>
        <stp/>
        <stp>BDP|10890680727611352010|22</stp>
        <stp>APCO AB Equity</stp>
        <stp>BID</stp>
        <tr r="Q192" s="2"/>
      </tp>
      <tp>
        <v>16.100000000000001</v>
        <stp/>
        <stp>BDP|14906101131278428439|22</stp>
        <stp>SAIC AB Equity</stp>
        <stp>LOW</stp>
        <tr r="L117" s="2"/>
      </tp>
      <tp>
        <v>14.24</v>
        <stp/>
        <stp>BDP|1170502774233786007|22</stp>
        <stp>NGCO AB Equity</stp>
        <stp>OPEN</stp>
        <tr r="K199" s="2"/>
      </tp>
      <tp>
        <v>13.42</v>
        <stp/>
        <stp>BDP|6812487168507695293|22</stp>
        <stp>SIBC AB Equity</stp>
        <stp>HIGH</stp>
        <tr r="M11" s="2"/>
      </tp>
      <tp>
        <v>71.45</v>
        <stp/>
        <stp>BDP|11483045676345809673|22</stp>
        <stp>AMAK AB Equity</stp>
        <stp>ASK</stp>
        <tr r="R196" s="2"/>
      </tp>
      <tp>
        <v>16.190000000000001</v>
        <stp/>
        <stp>BDP|15353078190618302533|22</stp>
        <stp>SIDC AB Equity</stp>
        <stp>LOW</stp>
        <tr r="L56" s="2"/>
      </tp>
      <tp>
        <v>12.3</v>
        <stp/>
        <stp>BDP|17655946839867882385|22</stp>
        <stp>ALABDUL AB Equity</stp>
        <stp>LAST_PRICE</stp>
        <tr r="B58" s="2"/>
        <tr r="C58" s="2"/>
      </tp>
      <tp t="s">
        <v>#N/A Requesting Data...4211417675</v>
        <stp/>
        <stp>BDP|12602036924282191095</stp>
        <tr r="X209" s="2"/>
      </tp>
      <tp t="s">
        <v>#N/A Requesting Data...4193908548</v>
        <stp/>
        <stp>BDP|10795225657105833030</stp>
        <tr r="T7" s="2"/>
      </tp>
      <tp t="s">
        <v>#N/A Requesting Data...4252946818</v>
        <stp/>
        <stp>BDP|12299172669245718226</stp>
        <tr r="S187" s="2"/>
      </tp>
      <tp t="s">
        <v>#N/A Requesting Data...4044046976</v>
        <stp/>
        <stp>BDP|18269831018902572154</stp>
        <tr r="H160" s="2"/>
      </tp>
      <tp>
        <v>5.2</v>
        <stp/>
        <stp>BDP|7296558313640802476|22</stp>
        <stp>KAYAN AB Equity</stp>
        <stp>BID</stp>
        <tr r="Q198" s="2"/>
      </tp>
      <tp t="s">
        <v>#N/A Requesting Data...4245033527</v>
        <stp/>
        <stp>BDP|16707709308162640117</stp>
        <tr r="S259" s="2"/>
      </tp>
      <tp t="s">
        <v>#N/A Requesting Data...4065751878</v>
        <stp/>
        <stp>BDP|12927822186962002255</stp>
        <tr r="P225" s="2"/>
      </tp>
      <tp t="s">
        <v>#N/A Requesting Data...4202372037</v>
        <stp/>
        <stp>BDP|16539797436751433163</stp>
        <tr r="X217" s="2"/>
      </tp>
      <tp t="s">
        <v>#N/A Requesting Data...4088594987</v>
        <stp/>
        <stp>BDP|15336937940418825205</stp>
        <tr r="T119" s="2"/>
      </tp>
      <tp t="s">
        <v>#N/A Requesting Data...4161469481</v>
        <stp/>
        <stp>BDP|10649641822707125197</stp>
        <tr r="I35" s="2"/>
      </tp>
      <tp t="s">
        <v>#N/A Requesting Data...4093972648</v>
        <stp/>
        <stp>BDP|16915829045959640102</stp>
        <tr r="S109" s="2"/>
      </tp>
      <tp t="s">
        <v>#N/A Requesting Data...4149564623</v>
        <stp/>
        <stp>BDP|16879530244035453037</stp>
        <tr r="H35" s="2"/>
      </tp>
      <tp t="s">
        <v>#N/A Requesting Data...4078647551</v>
        <stp/>
        <stp>BDP|15909741430084742708</stp>
        <tr r="H234" s="2"/>
      </tp>
      <tp t="s">
        <v>#N/A Requesting Data...4194856000</v>
        <stp/>
        <stp>BDP|16546399236805895181</stp>
        <tr r="H259" s="2"/>
      </tp>
      <tp t="s">
        <v>#N/A Requesting Data...4102460181</v>
        <stp/>
        <stp>BDP|10822318439720339292</stp>
        <tr r="I44" s="2"/>
      </tp>
      <tp t="s">
        <v>#N/A Requesting Data...4195582076</v>
        <stp/>
        <stp>BDP|12119567500293423696</stp>
        <tr r="I64" s="2"/>
      </tp>
      <tp t="s">
        <v>#N/A Requesting Data...4079280423</v>
        <stp/>
        <stp>BDP|14578084273214005544</stp>
        <tr r="I65" s="2"/>
      </tp>
      <tp t="s">
        <v>#N/A Requesting Data...4060700789</v>
        <stp/>
        <stp>BDP|10844106516555357777</stp>
        <tr r="H26" s="2"/>
      </tp>
      <tp t="s">
        <v>#N/A Requesting Data...4232107530</v>
        <stp/>
        <stp>BDP|14291424317984552785</stp>
        <tr r="O153" s="2"/>
      </tp>
      <tp t="s">
        <v>#N/A Requesting Data...4277264278</v>
        <stp/>
        <stp>BDP|12816164911759534962</stp>
        <tr r="X178" s="2"/>
      </tp>
      <tp t="s">
        <v>#N/A Requesting Data...4222138912</v>
        <stp/>
        <stp>BDP|16668489867861371765</stp>
        <tr r="S132" s="2"/>
      </tp>
      <tp t="s">
        <v>#N/A Requesting Data...4171801353</v>
        <stp/>
        <stp>BDP|14061179049303905087</stp>
        <tr r="X163" s="2"/>
      </tp>
      <tp t="s">
        <v>#N/A Requesting Data...4173536417</v>
        <stp/>
        <stp>BDP|13398547509731953581</stp>
        <tr r="I237" s="2"/>
      </tp>
      <tp t="s">
        <v>#N/A Requesting Data...4159024419</v>
        <stp/>
        <stp>BDP|18197763939356065813</stp>
        <tr r="I289" s="2"/>
      </tp>
      <tp t="s">
        <v>#N/A Requesting Data...4082937810</v>
        <stp/>
        <stp>BDP|18235620124509225798</stp>
        <tr r="T170" s="2"/>
      </tp>
      <tp t="s">
        <v>#N/A Requesting Data...4293148133</v>
        <stp/>
        <stp>BDP|18034885634826010739</stp>
        <tr r="O186" s="2"/>
      </tp>
      <tp t="s">
        <v>#N/A Requesting Data...4123716024</v>
        <stp/>
        <stp>BDP|17617743268903321774</stp>
        <tr r="U280" s="2"/>
      </tp>
      <tp t="s">
        <v>#N/A Requesting Data...4089296456</v>
        <stp/>
        <stp>BDP|12467758729375771016</stp>
        <tr r="H293" s="2"/>
      </tp>
      <tp t="s">
        <v>#N/A Requesting Data...4267302042</v>
        <stp/>
        <stp>BDP|13771133652004046182</stp>
        <tr r="O180" s="2"/>
      </tp>
      <tp>
        <v>2.7</v>
        <stp/>
        <stp>BDP|1535542564132234794|22</stp>
        <stp>ALWASAIL AB Equity</stp>
        <stp>LAST_PRICE</stp>
        <tr r="B32" s="2"/>
        <tr r="C32" s="2"/>
      </tp>
      <tp t="s">
        <v>#N/A Requesting Data...4253659848</v>
        <stp/>
        <stp>BDP|10202985930919916127</stp>
        <tr r="H267" s="2"/>
      </tp>
      <tp t="s">
        <v>#N/A Requesting Data...4215518354</v>
        <stp/>
        <stp>BDP|17833565132521981241</stp>
        <tr r="U190" s="2"/>
      </tp>
      <tp t="s">
        <v>#N/A Requesting Data...4234744891</v>
        <stp/>
        <stp>BDP|14691032747437013531</stp>
        <tr r="O218" s="2"/>
      </tp>
      <tp t="s">
        <v>#N/A Requesting Data...4147703047</v>
        <stp/>
        <stp>BDP|15507277497379594506</stp>
        <tr r="S222" s="2"/>
      </tp>
      <tp t="s">
        <v>#N/A Requesting Data...4142099930</v>
        <stp/>
        <stp>BDP|12196779533965517103</stp>
        <tr r="U270" s="2"/>
      </tp>
      <tp t="s">
        <v>#N/A Requesting Data...4190393950</v>
        <stp/>
        <stp>BDP|10458225462237797100</stp>
        <tr r="I144" s="2"/>
      </tp>
      <tp t="s">
        <v>#N/A Requesting Data...4252453385</v>
        <stp/>
        <stp>BDP|14998746561701738693</stp>
        <tr r="U92" s="2"/>
      </tp>
      <tp t="s">
        <v>#N/A Requesting Data...4249485437</v>
        <stp/>
        <stp>BDP|12051888993160993102</stp>
        <tr r="T256" s="2"/>
      </tp>
      <tp t="s">
        <v>#N/A Requesting Data...4253451370</v>
        <stp/>
        <stp>BDP|15108511330700389118</stp>
        <tr r="P46" s="2"/>
      </tp>
      <tp t="s">
        <v>#N/A Requesting Data...4191501949</v>
        <stp/>
        <stp>BDP|17274376265889496964</stp>
        <tr r="U46" s="2"/>
      </tp>
      <tp t="s">
        <v>#N/A Requesting Data...4154305570</v>
        <stp/>
        <stp>BDP|14731507451575249361</stp>
        <tr r="S5" s="2"/>
      </tp>
      <tp t="s">
        <v>#N/A Requesting Data...4186763174</v>
        <stp/>
        <stp>BDP|12523057924704826699</stp>
        <tr r="X58" s="2"/>
      </tp>
      <tp t="s">
        <v>#N/A Requesting Data...4153616749</v>
        <stp/>
        <stp>BDP|11558786650705996415</stp>
        <tr r="O194" s="2"/>
      </tp>
      <tp t="s">
        <v>#N/A Requesting Data...4234633431</v>
        <stp/>
        <stp>BDP|11951153329826254627</stp>
        <tr r="U254" s="2"/>
      </tp>
      <tp t="s">
        <v>#N/A Requesting Data...4221650173</v>
        <stp/>
        <stp>BDP|12245614023556045255</stp>
        <tr r="H140" s="2"/>
      </tp>
      <tp t="s">
        <v>#N/A Requesting Data...4248345458</v>
        <stp/>
        <stp>BDP|10267009736373128217</stp>
        <tr r="I293" s="2"/>
      </tp>
      <tp t="s">
        <v>#N/A Requesting Data...4252037453</v>
        <stp/>
        <stp>BDP|16529613282889051323</stp>
        <tr r="I292" s="2"/>
      </tp>
      <tp t="s">
        <v>#N/A Requesting Data...4194479461</v>
        <stp/>
        <stp>BDP|15025999921124938855</stp>
        <tr r="T87" s="2"/>
      </tp>
      <tp t="s">
        <v>#N/A Requesting Data...4258917310</v>
        <stp/>
        <stp>BDP|15742017565327700602</stp>
        <tr r="X221" s="2"/>
      </tp>
      <tp t="s">
        <v>#N/A Requesting Data...4283781782</v>
        <stp/>
        <stp>BDP|14615016770594436571</stp>
        <tr r="T230" s="2"/>
      </tp>
      <tp t="s">
        <v>#N/A Requesting Data...4280706068</v>
        <stp/>
        <stp>BDP|18384711650531156979</stp>
        <tr r="H189" s="2"/>
      </tp>
      <tp t="s">
        <v>#N/A Requesting Data...4203009684</v>
        <stp/>
        <stp>BDP|10653631136772125566</stp>
        <tr r="O48" s="2"/>
      </tp>
      <tp t="s">
        <v>#N/A Requesting Data...4271072555</v>
        <stp/>
        <stp>BDP|14362737400405458406</stp>
        <tr r="I166" s="2"/>
      </tp>
      <tp t="s">
        <v>#N/A Requesting Data...4247270227</v>
        <stp/>
        <stp>BDP|13770152954981313418</stp>
        <tr r="S98" s="2"/>
      </tp>
      <tp t="s">
        <v>#N/A Requesting Data...4224621755</v>
        <stp/>
        <stp>BDP|15939190646541959389</stp>
        <tr r="S133" s="2"/>
      </tp>
      <tp t="s">
        <v>#N/A Requesting Data...4259778821</v>
        <stp/>
        <stp>BDP|16855628362826964265</stp>
        <tr r="S232" s="2"/>
      </tp>
      <tp t="s">
        <v>#N/A Requesting Data...4280176868</v>
        <stp/>
        <stp>BDP|16020836405345176905</stp>
        <tr r="U135" s="2"/>
      </tp>
      <tp t="s">
        <v>#N/A Requesting Data...4235412045</v>
        <stp/>
        <stp>BDP|15018556739244347590</stp>
        <tr r="U251" s="2"/>
      </tp>
      <tp t="s">
        <v>#N/A Requesting Data...4262963068</v>
        <stp/>
        <stp>BDP|17005522408293840343</stp>
        <tr r="U21" s="2"/>
      </tp>
      <tp t="s">
        <v>#N/A Requesting Data...4292045827</v>
        <stp/>
        <stp>BDP|11559797601123300785</stp>
        <tr r="P216" s="2"/>
      </tp>
      <tp t="s">
        <v>#N/A Requesting Data...4275697547</v>
        <stp/>
        <stp>BDP|15008122179425549487</stp>
        <tr r="I151" s="2"/>
      </tp>
      <tp>
        <v>25.917899999999999</v>
        <stp/>
        <stp>BDP|1366843611355899788|22</stp>
        <stp>BUPA AB Equity</stp>
        <stp>CHG_PCT_YTD_RT</stp>
        <tr r="F188" s="2"/>
      </tp>
      <tp t="s">
        <v>#N/A N/A</v>
        <stp/>
        <stp>BDH|12300027914071536012</stp>
        <tr r="V118" s="2"/>
      </tp>
      <tp t="s">
        <v>#N/A N/A</v>
        <stp/>
        <stp>BDH|10659609521903328551</stp>
        <tr r="V146" s="2"/>
      </tp>
      <tp t="s">
        <v>#N/A N/A</v>
        <stp/>
        <stp>BDH|14000333306166608304</stp>
        <tr r="V255" s="2"/>
      </tp>
      <tp>
        <v>51.9</v>
        <stp/>
        <stp>BDP|9509166980341754700|22</stp>
        <stp>ARCCI AB Equity</stp>
        <stp>LOW</stp>
        <tr r="L166" s="2"/>
      </tp>
      <tp t="s">
        <v>#N/A N/A</v>
        <stp/>
        <stp>BDH|14580538617755247776</stp>
        <tr r="V114" s="2"/>
      </tp>
      <tp t="s">
        <v>#N/A N/A</v>
        <stp/>
        <stp>BDH|17463372704391052709</stp>
        <tr r="V160" s="2"/>
      </tp>
      <tp t="s">
        <v>#N/A N/A</v>
        <stp/>
        <stp>BDH|13489551352026759738</stp>
        <tr r="V275" s="2"/>
      </tp>
      <tp>
        <v>230</v>
        <stp/>
        <stp>BDP|14107720754971530846|22</stp>
        <stp>MIS AB Equity</stp>
        <stp>OPEN</stp>
        <tr r="K268" s="2"/>
      </tp>
      <tp>
        <v>-8.4368999999999996</v>
        <stp/>
        <stp>BDP|17832354209908565559|22</stp>
        <stp>SABIC AB Equity</stp>
        <stp>CHG_PCT_1M_RT</stp>
        <tr r="E228" s="2"/>
      </tp>
      <tp>
        <v>-11.771699999999999</v>
        <stp/>
        <stp>BDP|1797030107585475988|22</stp>
        <stp>ALOMRAN AB Equity</stp>
        <stp>CHG_PCT_YTD_RT</stp>
        <tr r="F25" s="2"/>
      </tp>
      <tp>
        <v>1635580</v>
        <stp/>
        <stp>BDP|1435130299894971221|22</stp>
        <stp>ALMARAI AB Equity</stp>
        <stp>VOLUME</stp>
        <tr r="J144" s="2"/>
      </tp>
      <tp t="s">
        <v>#N/A N/A</v>
        <stp/>
        <stp>BDH|12183860491921973058</stp>
        <tr r="V221" s="2"/>
      </tp>
      <tp t="s">
        <v>#N/A N/A</v>
        <stp/>
        <stp>BDH|15041701759542124721</stp>
        <tr r="V24" s="2"/>
      </tp>
      <tp t="s">
        <v>#N/A N/A</v>
        <stp/>
        <stp>BDH|16061894234048824796</stp>
        <tr r="V53" s="2"/>
      </tp>
      <tp t="s">
        <v>#N/A N/A</v>
        <stp/>
        <stp>BDH|14737229153945208486</stp>
        <tr r="V121" s="2"/>
      </tp>
      <tp>
        <v>0.13689999999999999</v>
        <stp/>
        <stp>BDP|12902281397448743833|22</stp>
        <stp>JADCO AB Equity</stp>
        <stp>CHG_PCT_1M_RT</stp>
        <tr r="E145" s="2"/>
      </tp>
      <tp t="s">
        <v>#N/A N/A</v>
        <stp/>
        <stp>BDH|12383101568437562015</stp>
        <tr r="V209" s="2"/>
      </tp>
      <tp t="s">
        <v>#N/A N/A</v>
        <stp/>
        <stp>BDH|14624250671963586098</stp>
        <tr r="V7" s="2"/>
      </tp>
      <tp t="s">
        <v>#N/A N/A</v>
        <stp/>
        <stp>BDH|15331245772903392184</stp>
        <tr r="V155" s="2"/>
      </tp>
      <tp>
        <v>0.50679999589920044</v>
        <stp/>
        <stp>BDP|17808255541234156677|22</stp>
        <stp>ALMOOSA AB Equity</stp>
        <stp>RT_PX_CHG_PCT_1D</stp>
        <tr r="D155" s="2"/>
      </tp>
      <tp>
        <v>12.15</v>
        <stp/>
        <stp>BDP|17463797037002530355|22</stp>
        <stp>KEC AB Equity</stp>
        <stp>BID</stp>
        <tr r="Q263" s="2"/>
      </tp>
      <tp>
        <v>3.3538999557495117</v>
        <stp/>
        <stp>BDP|17449703167510135943|22</stp>
        <stp>MIAHONA AB Equity</stp>
        <stp>RT_PX_CHG_PCT_1D</stp>
        <tr r="D292" s="2"/>
      </tp>
      <tp>
        <v>32.659999999999997</v>
        <stp/>
        <stp>BDP|10867945125068355976|22</stp>
        <stp>GIG AB Equity</stp>
        <stp>ASK</stp>
        <tr r="R185" s="2"/>
      </tp>
      <tp>
        <v>31.86</v>
        <stp/>
        <stp>BDP|10195957113941048453|22</stp>
        <stp>MEH AB Equity</stp>
        <stp>ASK</stp>
        <tr r="R152" s="2"/>
      </tp>
      <tp>
        <v>19.399999999999999</v>
        <stp/>
        <stp>BDP|17661886493145286330|22</stp>
        <stp>BSF AB Equity</stp>
        <stp>ASK</stp>
        <tr r="R10" s="2"/>
      </tp>
      <tp>
        <v>4</v>
        <stp/>
        <stp>BDP|3839047410535836943|22</stp>
        <stp>NICEONE AB Equity</stp>
        <stp>CHG_PCT_1M_RT</stp>
        <tr r="E42" s="2"/>
      </tp>
      <tp>
        <v>54.55</v>
        <stp/>
        <stp>BDP|10542300729364890293|22</stp>
        <stp>NAQI AB Equity</stp>
        <stp>BID</stp>
        <tr r="Q136" s="2"/>
      </tp>
      <tp>
        <v>6.84</v>
        <stp/>
        <stp>BDP|16611686287040682851|22</stp>
        <stp>SPORTCLU AB Equity</stp>
        <stp>YEST_LAST_TRADE</stp>
        <tr r="G67" s="2"/>
      </tp>
      <tp>
        <v>13.78</v>
        <stp/>
        <stp>BDP|12430465365094552484|22</stp>
        <stp>UACC AB Equity</stp>
        <stp>BID</stp>
        <tr r="Q206" s="2"/>
      </tp>
      <tp>
        <v>65.900000000000006</v>
        <stp/>
        <stp>BDP|656858383281911568|22</stp>
        <stp>RJHI AB Equity</stp>
        <stp>LAST_PRICE</stp>
        <tr r="C12" s="2"/>
        <tr r="B12" s="2"/>
      </tp>
      <tp>
        <v>3.3092000000000001</v>
        <stp/>
        <stp>BDP|18057328292978601569|22</stp>
        <stp>BONYAN AB Equity</stp>
        <stp>CHG_PCT_1M_RT</stp>
        <tr r="E114" s="2"/>
      </tp>
      <tp t="s">
        <v>#N/A Requesting Data...2320645242</v>
        <stp/>
        <stp>BDP|17745581178764898261</stp>
        <tr r="O202" s="2"/>
      </tp>
      <tp t="s">
        <v>#N/A Requesting Data...2685611764</v>
        <stp/>
        <stp>BDP|16777682880749791217</stp>
        <tr r="S145" s="2"/>
      </tp>
      <tp t="s">
        <v>#N/A Requesting Data...3863107212</v>
        <stp/>
        <stp>BDP|16973725767543326769</stp>
        <tr r="T277" s="2"/>
      </tp>
      <tp t="s">
        <v>#N/A Requesting Data...3288677424</v>
        <stp/>
        <stp>BDP|16788570379970764770</stp>
        <tr r="O253" s="2"/>
      </tp>
      <tp t="s">
        <v>#N/A Requesting Data...1130400176</v>
        <stp/>
        <stp>BDP|11717278839362345138</stp>
        <tr r="O37" s="2"/>
      </tp>
      <tp t="s">
        <v>#N/A Requesting Data...3972251238</v>
        <stp/>
        <stp>BDP|15068596132416251605</stp>
        <tr r="I75" s="2"/>
      </tp>
      <tp t="s">
        <v>#N/A Requesting Data...3204227058</v>
        <stp/>
        <stp>BDP|13992274201773363145</stp>
        <tr r="I253" s="2"/>
      </tp>
      <tp t="s">
        <v>#N/A Requesting Data...2925841842</v>
        <stp/>
        <stp>BDP|11092222753332953705</stp>
        <tr r="S39" s="2"/>
      </tp>
      <tp t="s">
        <v>#N/A Requesting Data...2096190975</v>
        <stp/>
        <stp>BDP|14254088970338412860</stp>
        <tr r="O19" s="2"/>
      </tp>
      <tp t="s">
        <v>#N/A Requesting Data...1859849681</v>
        <stp/>
        <stp>BDP|13364361731964475486</stp>
        <tr r="H173" s="2"/>
      </tp>
      <tp t="s">
        <v>#N/A Requesting Data...1906499808</v>
        <stp/>
        <stp>BDP|14676118722022840659</stp>
        <tr r="U96" s="2"/>
      </tp>
      <tp t="s">
        <v>#N/A Requesting Data...2111146749</v>
        <stp/>
        <stp>BDP|14021682361916899196</stp>
        <tr r="P92" s="2"/>
      </tp>
      <tp t="s">
        <v>#N/A Requesting Data...3046480727</v>
        <stp/>
        <stp>BDP|13604360631264075493</stp>
        <tr r="P119" s="2"/>
      </tp>
      <tp t="s">
        <v>#N/A Requesting Data...689373903</v>
        <stp/>
        <stp>BDP|16859992582196205290</stp>
        <tr r="X104" s="2"/>
      </tp>
      <tp>
        <v>26.96</v>
        <stp/>
        <stp>BDP|5677313361625615516|22</stp>
        <stp>EACCO AB Equity</stp>
        <stp>LOW</stp>
        <tr r="L213" s="2"/>
      </tp>
      <tp t="s">
        <v>#N/A Requesting Data...2280133928</v>
        <stp/>
        <stp>BDP|14689223011856606288</stp>
        <tr r="S195" s="2"/>
      </tp>
      <tp t="s">
        <v>#N/A Requesting Data...4092354195</v>
        <stp/>
        <stp>BDP|10911482943512095196</stp>
        <tr r="I51" s="2"/>
      </tp>
      <tp t="s">
        <v>#N/A Requesting Data...502868766</v>
        <stp/>
        <stp>BDP|12350190061526648066</stp>
        <tr r="X111" s="2"/>
      </tp>
      <tp t="s">
        <v>#N/A Requesting Data...1326124501</v>
        <stp/>
        <stp>BDP|10906743116707013204</stp>
        <tr r="O134" s="2"/>
      </tp>
      <tp t="s">
        <v>#N/A Requesting Data...2596509087</v>
        <stp/>
        <stp>BDP|16132425711252802210</stp>
        <tr r="T285" s="2"/>
      </tp>
      <tp t="s">
        <v>#N/A Requesting Data...3706028268</v>
        <stp/>
        <stp>BDP|13941274933801368049</stp>
        <tr r="T272" s="2"/>
      </tp>
      <tp t="s">
        <v>#N/A Requesting Data...2748672076</v>
        <stp/>
        <stp>BDP|10199132819206133575</stp>
        <tr r="H183" s="2"/>
      </tp>
      <tp t="s">
        <v>#N/A Requesting Data...988745166</v>
        <stp/>
        <stp>BDP|10795377248692221678</stp>
        <tr r="X283" s="2"/>
      </tp>
      <tp t="s">
        <v>#N/A Requesting Data...3557371644</v>
        <stp/>
        <stp>BDP|10220173532049267898</stp>
        <tr r="T10" s="2"/>
      </tp>
      <tp t="s">
        <v>#N/A Requesting Data...758931947</v>
        <stp/>
        <stp>BDP|12841087346603871625</stp>
        <tr r="P72" s="2"/>
      </tp>
      <tp t="s">
        <v>#N/A Requesting Data...975882617</v>
        <stp/>
        <stp>BDP|13590742189086357947</stp>
        <tr r="H239" s="2"/>
      </tp>
      <tp t="s">
        <v>#N/A Requesting Data...2652760819</v>
        <stp/>
        <stp>BDP|17653241171477909658</stp>
        <tr r="T51" s="2"/>
      </tp>
      <tp t="s">
        <v>#N/A Requesting Data...1199727061</v>
        <stp/>
        <stp>BDP|13824136846941670449</stp>
        <tr r="P171" s="2"/>
      </tp>
      <tp t="s">
        <v>#N/A Requesting Data...2137124043</v>
        <stp/>
        <stp>BDP|17325779234762752289</stp>
        <tr r="I186" s="2"/>
      </tp>
      <tp t="s">
        <v>#N/A Requesting Data...3957269373</v>
        <stp/>
        <stp>BDP|15804998603109401686</stp>
        <tr r="X154" s="2"/>
      </tp>
      <tp t="s">
        <v>#N/A Requesting Data...2975161952</v>
        <stp/>
        <stp>BDP|10413567219280671731</stp>
        <tr r="I260" s="2"/>
      </tp>
      <tp t="s">
        <v>#N/A Requesting Data...2557292116</v>
        <stp/>
        <stp>BDP|12928718636931318432</stp>
        <tr r="P145" s="2"/>
      </tp>
      <tp t="s">
        <v>#N/A Requesting Data...3989199833</v>
        <stp/>
        <stp>BDP|12175334803773681165</stp>
        <tr r="O138" s="2"/>
      </tp>
      <tp t="s">
        <v>#N/A Requesting Data...2645989515</v>
        <stp/>
        <stp>BDP|13437757616465217349</stp>
        <tr r="H231" s="2"/>
      </tp>
      <tp t="s">
        <v>#N/A Requesting Data...3836152581</v>
        <stp/>
        <stp>BDP|16516510814803190203</stp>
        <tr r="H132" s="2"/>
      </tp>
      <tp t="s">
        <v>#N/A Requesting Data...3210896322</v>
        <stp/>
        <stp>BDP|10012364511859286847</stp>
        <tr r="X145" s="2"/>
      </tp>
      <tp>
        <v>50857</v>
        <stp/>
        <stp>BDP|3764017576045706674|22</stp>
        <stp>MAATHER AB Equity</stp>
        <stp>VOLUME</stp>
        <tr r="J106" s="2"/>
      </tp>
      <tp t="s">
        <v>#N/A Requesting Data...3318234533</v>
        <stp/>
        <stp>BDP|10495129741855237353</stp>
        <tr r="I179" s="2"/>
      </tp>
      <tp t="s">
        <v>#N/A Requesting Data...1936113322</v>
        <stp/>
        <stp>BDP|14744063047264138779</stp>
        <tr r="H177" s="2"/>
      </tp>
      <tp t="s">
        <v>#N/A Requesting Data...3878606556</v>
        <stp/>
        <stp>BDP|17373188889179440464</stp>
        <tr r="T192" s="2"/>
      </tp>
      <tp t="s">
        <v>#N/A Requesting Data...1230782324</v>
        <stp/>
        <stp>BDP|13319743327815305037</stp>
        <tr r="H108" s="2"/>
      </tp>
      <tp t="s">
        <v>#N/A Requesting Data...1414672217</v>
        <stp/>
        <stp>BDP|12440009421895314666</stp>
        <tr r="S159" s="2"/>
      </tp>
      <tp t="s">
        <v>#N/A Requesting Data...2547328628</v>
        <stp/>
        <stp>BDP|11910653004054852037</stp>
        <tr r="I291" s="2"/>
      </tp>
      <tp t="s">
        <v>#N/A Requesting Data...2212321754</v>
        <stp/>
        <stp>BDP|15399071778947990673</stp>
        <tr r="X80" s="2"/>
      </tp>
      <tp t="s">
        <v>#N/A Requesting Data...3728935176</v>
        <stp/>
        <stp>BDP|16817637181973970810</stp>
        <tr r="X12" s="2"/>
      </tp>
      <tp t="s">
        <v>#N/A Requesting Data...2140635764</v>
        <stp/>
        <stp>BDP|15498906710226503832</stp>
        <tr r="I11" s="2"/>
      </tp>
      <tp t="s">
        <v>#N/A Requesting Data...2249746355</v>
        <stp/>
        <stp>BDP|17496863188827851307</stp>
        <tr r="O85" s="2"/>
      </tp>
      <tp t="s">
        <v>#N/A Requesting Data...1000904448</v>
        <stp/>
        <stp>BDP|13656248676476393356</stp>
        <tr r="O172" s="2"/>
      </tp>
      <tp t="s">
        <v>#N/A Requesting Data...2238006206</v>
        <stp/>
        <stp>BDP|17230334370301124123</stp>
        <tr r="U176" s="2"/>
      </tp>
      <tp t="s">
        <v>#N/A Requesting Data...459070420</v>
        <stp/>
        <stp>BDP|10432479835810601426</stp>
        <tr r="I236" s="2"/>
      </tp>
      <tp t="s">
        <v>#N/A Requesting Data...3945496129</v>
        <stp/>
        <stp>BDP|14983440745624815356</stp>
        <tr r="S141" s="2"/>
      </tp>
      <tp t="s">
        <v>#N/A Requesting Data...4040759357</v>
        <stp/>
        <stp>BDP|12918189707898721845</stp>
        <tr r="X52" s="2"/>
      </tp>
      <tp t="s">
        <v>#N/A Requesting Data...1076368355</v>
        <stp/>
        <stp>BDP|17959924526786805901</stp>
        <tr r="T83" s="2"/>
      </tp>
      <tp>
        <v>38.6965</v>
        <stp/>
        <stp>BDP|17502458152917335138|22</stp>
        <stp>SNB AB Equity</stp>
        <stp>VWAP</stp>
        <tr r="N13" s="2"/>
      </tp>
      <tp t="s">
        <v>#N/A Requesting Data...2652465870</v>
        <stp/>
        <stp>BDP|16208006027855002211</stp>
        <tr r="P122" s="2"/>
      </tp>
      <tp t="s">
        <v>#N/A Requesting Data...984918033</v>
        <stp/>
        <stp>BDP|16445005837455716309</stp>
        <tr r="S288" s="2"/>
      </tp>
      <tp t="s">
        <v>#N/A Requesting Data...3760332623</v>
        <stp/>
        <stp>BDP|13676631141154259622</stp>
        <tr r="P173" s="2"/>
      </tp>
      <tp>
        <v>93</v>
        <stp/>
        <stp>BDP|3886474787082759715|22</stp>
        <stp>NAHDI AB Equity</stp>
        <stp>BID</stp>
        <tr r="Q86" s="2"/>
      </tp>
      <tp t="s">
        <v>#N/A Requesting Data...1018822266</v>
        <stp/>
        <stp>BDP|10724238286180430911</stp>
        <tr r="X25" s="2"/>
      </tp>
      <tp t="s">
        <v>#N/A Requesting Data...2651959057</v>
        <stp/>
        <stp>BDP|10418223337424383656</stp>
        <tr r="H172" s="2"/>
      </tp>
      <tp t="s">
        <v>#N/A Requesting Data...2435366943</v>
        <stp/>
        <stp>BDP|13865960969459370634</stp>
        <tr r="I55" s="2"/>
      </tp>
      <tp>
        <v>72.3</v>
        <stp/>
        <stp>BDP|7894319789160985695|22</stp>
        <stp>EXTRA AB Equity</stp>
        <stp>ASK</stp>
        <tr r="R52" s="2"/>
      </tp>
      <tp t="s">
        <v>#N/A Requesting Data...2999159580</v>
        <stp/>
        <stp>BDP|14369207049097999652</stp>
        <tr r="U17" s="2"/>
      </tp>
      <tp t="s">
        <v>#N/A Requesting Data...3279552407</v>
        <stp/>
        <stp>BDP|17582149292944497818</stp>
        <tr r="I62" s="2"/>
      </tp>
      <tp t="s">
        <v>#N/A Requesting Data...731307632</v>
        <stp/>
        <stp>BDP|10662689710661029583</stp>
        <tr r="T48" s="2"/>
      </tp>
      <tp t="s">
        <v>#N/A Requesting Data...2370382223</v>
        <stp/>
        <stp>BDP|14090367816731311457</stp>
        <tr r="U165" s="2"/>
      </tp>
      <tp t="s">
        <v>#N/A Requesting Data...2437233707</v>
        <stp/>
        <stp>BDP|16614333047664486601</stp>
        <tr r="U37" s="2"/>
      </tp>
      <tp t="s">
        <v>#N/A Requesting Data...4204689841</v>
        <stp/>
        <stp>BDP|15863353710362899633</stp>
        <tr r="U171" s="2"/>
      </tp>
      <tp t="s">
        <v>#N/A Requesting Data...1983463204</v>
        <stp/>
        <stp>BDP|10658565954097145437</stp>
        <tr r="U279" s="2"/>
      </tp>
      <tp t="s">
        <v>#N/A N/A</v>
        <stp/>
        <stp>BDH|10807193970810678569</stp>
        <tr r="V280" s="2"/>
      </tp>
      <tp>
        <v>179347</v>
        <stp/>
        <stp>BDP|4086610623283464839|22</stp>
        <stp>BUPA AB Equity</stp>
        <stp>VOLUME</stp>
        <tr r="J188" s="2"/>
      </tp>
      <tp t="s">
        <v>#N/A N/A</v>
        <stp/>
        <stp>BDH|14770663501956769770</stp>
        <tr r="V202" s="2"/>
      </tp>
      <tp t="s">
        <v>#N/A N/A</v>
        <stp/>
        <stp>BDH|15483076046442427011</stp>
        <tr r="V102" s="2"/>
      </tp>
      <tp t="s">
        <v>#N/A N/A</v>
        <stp/>
        <stp>BDH|15650049818566889123</stp>
        <tr r="V244" s="2"/>
      </tp>
      <tp>
        <v>-15.648300000000001</v>
        <stp/>
        <stp>BDP|6758181841655982368|22</stp>
        <stp>BAAZEEM AB Equity</stp>
        <stp>CHG_PCT_YTD_RT</stp>
        <tr r="F48" s="2"/>
      </tp>
      <tp>
        <v>12.9862</v>
        <stp/>
        <stp>BDP|1578910226446702061|22</stp>
        <stp>ALARKAN AB Equity</stp>
        <stp>CHG_PCT_YTD_RT</stp>
        <tr r="F255" s="2"/>
      </tp>
      <tp t="s">
        <v>#N/A N/A</v>
        <stp/>
        <stp>BDH|12460023721605100612</stp>
        <tr r="V69" s="2"/>
      </tp>
      <tp t="s">
        <v>#N/A N/A</v>
        <stp/>
        <stp>BDH|11541203116935793437</stp>
        <tr r="V80" s="2"/>
      </tp>
      <tp t="s">
        <v>#N/A N/A</v>
        <stp/>
        <stp>BDH|16475866094133709767</stp>
        <tr r="V276" s="2"/>
      </tp>
      <tp t="s">
        <v>#N/A N/A</v>
        <stp/>
        <stp>BDH|16247333715361714657</stp>
        <tr r="V40" s="2"/>
      </tp>
      <tp t="s">
        <v>#N/A N/A</v>
        <stp/>
        <stp>BDH|14970512464931528507</stp>
        <tr r="V230" s="2"/>
      </tp>
      <tp t="s">
        <v>#N/A N/A</v>
        <stp/>
        <stp>BDH|13943041039912821157</stp>
        <tr r="V64" s="2"/>
      </tp>
      <tp>
        <v>-6.4401000000000002</v>
        <stp/>
        <stp>BDP|12606872560162249371|22</stp>
        <stp>YNCCO AB Equity</stp>
        <stp>CHG_PCT_1M_RT</stp>
        <tr r="E209" s="2"/>
      </tp>
      <tp t="s">
        <v>#N/A N/A</v>
        <stp/>
        <stp>BDH|16656973447749857130</stp>
        <tr r="V195" s="2"/>
      </tp>
      <tp>
        <v>90.242400000000004</v>
        <stp/>
        <stp>BDP|10113369686215347634|22</stp>
        <stp>EAT AB Equity</stp>
        <stp>VWAP</stp>
        <tr r="N277" s="2"/>
      </tp>
      <tp>
        <v>19.18</v>
        <stp/>
        <stp>BDP|18116935788933300351|22</stp>
        <stp>BSF AB Equity</stp>
        <stp>BID</stp>
        <tr r="Q10" s="2"/>
      </tp>
      <tp>
        <v>38.659999999999997</v>
        <stp/>
        <stp>BDP|10908649465672475441|22</stp>
        <stp>SNB AB Equity</stp>
        <stp>BID</stp>
        <tr r="Q13" s="2"/>
      </tp>
      <tp>
        <v>43.24</v>
        <stp/>
        <stp>BDP|14211302917966337516|22</stp>
        <stp>STC AB Equity</stp>
        <stp>LOW</stp>
        <tr r="L275" s="2"/>
      </tp>
      <tp>
        <v>180.1</v>
        <stp/>
        <stp>BDP|15713142554422228602|22</stp>
        <stp>SAL AB Equity</stp>
        <stp>ASK</stp>
        <tr r="R282" s="2"/>
      </tp>
      <tp>
        <v>0.13099999725818634</v>
        <stp/>
        <stp>BDP|11991804701793919139|22</stp>
        <stp>TAMKEEN AB Equity</stp>
        <stp>RT_PX_CHG_PCT_1D</stp>
        <tr r="D36" s="2"/>
      </tp>
      <tp>
        <v>-1.7241</v>
        <stp/>
        <stp>BDP|6072805183655918839|22</stp>
        <stp>ALDREES AB Equity</stp>
        <stp>CHG_PCT_1M_RT</stp>
        <tr r="E46" s="2"/>
      </tp>
      <tp>
        <v>32.44</v>
        <stp/>
        <stp>BDP|4348694981649207638|22</stp>
        <stp>LUMI AB Equity</stp>
        <stp>OPEN</stp>
        <tr r="K280" s="2"/>
      </tp>
      <tp>
        <v>17.5</v>
        <stp/>
        <stp>BDP|12704024939691836465|22</stp>
        <stp>teco AB Equity</stp>
        <stp>LAST_PRICE</stp>
        <tr r="C72" s="2"/>
        <tr r="B72" s="2"/>
      </tp>
      <tp>
        <v>3.81</v>
        <stp/>
        <stp>BDP|12268573923457394268|22</stp>
        <stp>GGCI AB Equity</stp>
        <stp>LOW</stp>
        <tr r="L187" s="2"/>
      </tp>
      <tp>
        <v>32.5991</v>
        <stp/>
        <stp>BDP|5775428298656177032|22</stp>
        <stp>LUMI AB Equity</stp>
        <stp>VWAP</stp>
        <tr r="N280" s="2"/>
      </tp>
      <tp>
        <v>70.849999999999994</v>
        <stp/>
        <stp>BDP|1660907099416171159|22</stp>
        <stp>NGIC AB Equity</stp>
        <stp>OPEN</stp>
        <tr r="K293" s="2"/>
      </tp>
      <tp>
        <v>5.1018999999999997</v>
        <stp/>
        <stp>BDP|4842916774020284433|22</stp>
        <stp>JOUF AB Equity</stp>
        <stp>VWAP</stp>
        <tr r="N216" s="2"/>
      </tp>
      <tp>
        <v>2.0299999999999998</v>
        <stp/>
        <stp>BDP|9069809713323373958|22</stp>
        <stp>AATD AB Equity</stp>
        <stp>OPEN</stp>
        <tr r="K76" s="2"/>
      </tp>
      <tp>
        <v>5.83</v>
        <stp/>
        <stp>BDP|11554035236071855382|22</stp>
        <stp>NAJRAN AB Equity</stp>
        <stp>LAST_PRICE</stp>
        <tr r="B211" s="2"/>
        <tr r="C211" s="2"/>
      </tp>
      <tp>
        <v>2.1789999008178711</v>
        <stp/>
        <stp>BDP|9407390990977634434|22</stp>
        <stp>SMARKETI AB Equity</stp>
        <stp>RT_PX_CHG_PCT_1D</stp>
        <tr r="D85" s="2"/>
      </tp>
      <tp>
        <v>129804</v>
        <stp/>
        <stp>BDP|572363410858521991|22</stp>
        <stp>ARABIAND AB Equity</stp>
        <stp>VOLUME</stp>
        <tr r="J91" s="2"/>
      </tp>
      <tp>
        <v>-8.3038000000000007</v>
        <stp/>
        <stp>BDP|249160015545942159|22</stp>
        <stp>ARABIAND AB Equity</stp>
        <stp>CHG_PCT_YTD_RT</stp>
        <tr r="F91" s="2"/>
      </tp>
      <tp>
        <v>236985</v>
        <stp/>
        <stp>BDP|15530106430202414010|22</stp>
        <stp>SSP AB Equity</stp>
        <stp>VOLUME</stp>
        <tr r="J193" s="2"/>
      </tp>
      <tp t="s">
        <v>#N/A Requesting Data...2319401112</v>
        <stp/>
        <stp>BDP|13436233618772459221</stp>
        <tr r="S43" s="2"/>
      </tp>
      <tp t="s">
        <v>#N/A Requesting Data...2200086906</v>
        <stp/>
        <stp>BDP|12553074046281970744</stp>
        <tr r="I227" s="2"/>
      </tp>
      <tp t="s">
        <v>#N/A Requesting Data...1707820648</v>
        <stp/>
        <stp>BDP|17004185256840138368</stp>
        <tr r="X160" s="2"/>
      </tp>
      <tp t="s">
        <v>#N/A Requesting Data...2419865752</v>
        <stp/>
        <stp>BDP|12325692416732724720</stp>
        <tr r="U49" s="2"/>
      </tp>
      <tp>
        <v>2.46</v>
        <stp/>
        <stp>BDP|6815754925949962474|22</stp>
        <stp>AHFCO AB Equity</stp>
        <stp>BID</stp>
        <tr r="Q60" s="2"/>
      </tp>
      <tp>
        <v>361514</v>
        <stp/>
        <stp>BDP|7011719452879193834|22</stp>
        <stp>DERAYAH AB Equity</stp>
        <stp>VOLUME</stp>
        <tr r="J116" s="2"/>
      </tp>
      <tp t="s">
        <v>#N/A Requesting Data...877968446</v>
        <stp/>
        <stp>BDP|16500466875737852265</stp>
        <tr r="O23" s="2"/>
      </tp>
      <tp t="s">
        <v>#N/A Requesting Data...2532427848</v>
        <stp/>
        <stp>BDP|11402466703726026394</stp>
        <tr r="P267" s="2"/>
      </tp>
      <tp t="s">
        <v>#N/A Requesting Data...2046326442</v>
        <stp/>
        <stp>BDP|12919054827736112625</stp>
        <tr r="T56" s="2"/>
      </tp>
      <tp>
        <v>11.28</v>
        <stp/>
        <stp>BDP|7410977745531640570|22</stp>
        <stp>CITYC AB Equity</stp>
        <stp>BID</stp>
        <tr r="Q223" s="2"/>
      </tp>
      <tp t="s">
        <v>#N/A Requesting Data...3310137998</v>
        <stp/>
        <stp>BDP|16754396048871800053</stp>
        <tr r="T262" s="2"/>
      </tp>
      <tp t="s">
        <v>#N/A Requesting Data...3682590758</v>
        <stp/>
        <stp>BDP|16395147610951831749</stp>
        <tr r="X241" s="2"/>
      </tp>
      <tp t="s">
        <v>#N/A Requesting Data...939640053</v>
        <stp/>
        <stp>BDP|15660468639334008621</stp>
        <tr r="U185" s="2"/>
      </tp>
      <tp t="s">
        <v>#N/A Requesting Data...1797757120</v>
        <stp/>
        <stp>BDP|16534056819372743555</stp>
        <tr r="X87" s="2"/>
      </tp>
      <tp t="s">
        <v>#N/A Requesting Data...4244008047</v>
        <stp/>
        <stp>BDP|14944455853583396679</stp>
        <tr r="U109" s="2"/>
      </tp>
      <tp>
        <v>4.97</v>
        <stp/>
        <stp>BDP|3063761860815875243|22</stp>
        <stp>JADWA AB Equity</stp>
        <stp>BID</stp>
        <tr r="Q101" s="2"/>
      </tp>
      <tp t="s">
        <v>#N/A Requesting Data...2717922341</v>
        <stp/>
        <stp>BDP|18217514612489383582</stp>
        <tr r="O49" s="2"/>
      </tp>
      <tp t="s">
        <v>#N/A Requesting Data...1086994630</v>
        <stp/>
        <stp>BDP|11553116704063852359</stp>
        <tr r="I77" s="2"/>
      </tp>
      <tp t="s">
        <v>#N/A Requesting Data...2567206929</v>
        <stp/>
        <stp>BDP|17257117378698456926</stp>
        <tr r="H185" s="2"/>
      </tp>
      <tp t="s">
        <v>#N/A Requesting Data...1122034022</v>
        <stp/>
        <stp>BDP|11764514415765870079</stp>
        <tr r="O255" s="2"/>
      </tp>
      <tp t="s">
        <v>#N/A Requesting Data...2174905940</v>
        <stp/>
        <stp>BDP|12884066034129117874</stp>
        <tr r="H86" s="2"/>
      </tp>
      <tp t="s">
        <v>#N/A Requesting Data...3862322010</v>
        <stp/>
        <stp>BDP|15946076501955526063</stp>
        <tr r="U127" s="2"/>
      </tp>
      <tp t="s">
        <v>#N/A Requesting Data...4209972835</v>
        <stp/>
        <stp>BDP|12992104666020622557</stp>
        <tr r="U28" s="2"/>
      </tp>
      <tp t="s">
        <v>#N/A Requesting Data...2320982504</v>
        <stp/>
        <stp>BDP|10032374954841637792</stp>
        <tr r="T217" s="2"/>
      </tp>
      <tp t="s">
        <v>#N/A Requesting Data...3428623318</v>
        <stp/>
        <stp>BDP|15115876336327668999</stp>
        <tr r="U97" s="2"/>
      </tp>
      <tp t="s">
        <v>#N/A Requesting Data...2528617741</v>
        <stp/>
        <stp>BDP|14472157534721875728</stp>
        <tr r="U59" s="2"/>
      </tp>
      <tp t="s">
        <v>#N/A Requesting Data...1134639244</v>
        <stp/>
        <stp>BDP|11530720188196716872</stp>
        <tr r="S230" s="2"/>
      </tp>
      <tp t="s">
        <v>#N/A Requesting Data...817670931</v>
        <stp/>
        <stp>BDP|12668486670324136501</stp>
        <tr r="I81" s="2"/>
      </tp>
      <tp t="s">
        <v>#N/A Requesting Data...2536212311</v>
        <stp/>
        <stp>BDP|17141793354082433772</stp>
        <tr r="S114" s="2"/>
      </tp>
      <tp t="s">
        <v>#N/A Requesting Data...2811129059</v>
        <stp/>
        <stp>BDP|14611090953505054428</stp>
        <tr r="S112" s="2"/>
      </tp>
      <tp t="s">
        <v>#N/A Requesting Data...1000818903</v>
        <stp/>
        <stp>BDP|12157433526824361094</stp>
        <tr r="P47" s="2"/>
      </tp>
      <tp t="s">
        <v>#N/A Requesting Data...2556713282</v>
        <stp/>
        <stp>BDP|14900342526786079351</stp>
        <tr r="P163" s="2"/>
      </tp>
      <tp t="s">
        <v>#N/A Requesting Data...3642018170</v>
        <stp/>
        <stp>BDP|17146041513035920315</stp>
        <tr r="H232" s="2"/>
      </tp>
      <tp t="s">
        <v>#N/A Requesting Data...2716089286</v>
        <stp/>
        <stp>BDP|17977673443625212011</stp>
        <tr r="P226" s="2"/>
      </tp>
      <tp t="s">
        <v>#N/A Requesting Data...743932454</v>
        <stp/>
        <stp>BDP|14629145889665618830</stp>
        <tr r="H242" s="2"/>
      </tp>
      <tp t="s">
        <v>#N/A Requesting Data...1683173724</v>
        <stp/>
        <stp>BDP|15367138380279010517</stp>
        <tr r="O111" s="2"/>
      </tp>
      <tp t="s">
        <v>#N/A Requesting Data...4187818066</v>
        <stp/>
        <stp>BDP|15417500755804036103</stp>
        <tr r="U247" s="2"/>
      </tp>
      <tp t="s">
        <v>#N/A Requesting Data...705259839</v>
        <stp/>
        <stp>BDP|12919685453052030331</stp>
        <tr r="U215" s="2"/>
      </tp>
      <tp t="s">
        <v>#N/A Requesting Data...3336047665</v>
        <stp/>
        <stp>BDP|17477453302914032728</stp>
        <tr r="U233" s="2"/>
      </tp>
      <tp t="s">
        <v>#N/A Requesting Data...2169852572</v>
        <stp/>
        <stp>BDP|17025227350607216714</stp>
        <tr r="P165" s="2"/>
      </tp>
      <tp t="s">
        <v>#N/A Requesting Data...1376126441</v>
        <stp/>
        <stp>BDP|16869264820953939570</stp>
        <tr r="H113" s="2"/>
      </tp>
      <tp t="s">
        <v>#N/A Requesting Data...3724702434</v>
        <stp/>
        <stp>BDP|15349319658656904533</stp>
        <tr r="T183" s="2"/>
      </tp>
      <tp t="s">
        <v>#N/A Requesting Data...1433883302</v>
        <stp/>
        <stp>BDP|14453410327520590276</stp>
        <tr r="I84" s="2"/>
      </tp>
      <tp t="s">
        <v>#N/A Requesting Data...2850805185</v>
        <stp/>
        <stp>BDP|18117338653468746664</stp>
        <tr r="T174" s="2"/>
      </tp>
      <tp t="s">
        <v>#N/A Requesting Data...1568231388</v>
        <stp/>
        <stp>BDP|10190109761417529054</stp>
        <tr r="T186" s="2"/>
      </tp>
      <tp t="s">
        <v>#N/A Requesting Data...3518208591</v>
        <stp/>
        <stp>BDP|10719136953345163160</stp>
        <tr r="I93" s="2"/>
      </tp>
      <tp>
        <v>232.8</v>
        <stp/>
        <stp>BDP|1487738076564989804|22</stp>
        <stp>MIS AB Equity</stp>
        <stp>LAST_PRICE</stp>
        <tr r="B268" s="2"/>
        <tr r="C268" s="2"/>
      </tp>
      <tp t="s">
        <v>#N/A Requesting Data...1159823930</v>
        <stp/>
        <stp>BDP|15087546282449742125</stp>
        <tr r="H22" s="2"/>
      </tp>
      <tp t="s">
        <v>#N/A Requesting Data...3773978199</v>
        <stp/>
        <stp>BDP|13042251234777088522</stp>
        <tr r="O206" s="2"/>
      </tp>
      <tp t="s">
        <v>#N/A Requesting Data...3449954018</v>
        <stp/>
        <stp>BDP|15344406437561686313</stp>
        <tr r="H167" s="2"/>
      </tp>
      <tp t="s">
        <v>#N/A Requesting Data...1741640136</v>
        <stp/>
        <stp>BDP|18416691045762330885</stp>
        <tr r="S196" s="2"/>
      </tp>
      <tp t="s">
        <v>#N/A Requesting Data...3114200248</v>
        <stp/>
        <stp>BDP|16751057204703724522</stp>
        <tr r="P52" s="2"/>
      </tp>
      <tp>
        <v>-10.867900000000001</v>
        <stp/>
        <stp>BDP|6586426965819285655|22</stp>
        <stp>ALDREES AB Equity</stp>
        <stp>CHG_PCT_YTD_RT</stp>
        <tr r="F46" s="2"/>
      </tp>
      <tp t="s">
        <v>#N/A Requesting Data...2929656618</v>
        <stp/>
        <stp>BDP|10305119233820517268</stp>
        <tr r="S188" s="2"/>
      </tp>
      <tp t="s">
        <v>#N/A Requesting Data...2428543376</v>
        <stp/>
        <stp>BDP|16421058130047652253</stp>
        <tr r="X176" s="2"/>
      </tp>
      <tp t="s">
        <v>#N/A Requesting Data...2879251139</v>
        <stp/>
        <stp>BDP|10906395466290046546</stp>
        <tr r="I105" s="2"/>
      </tp>
      <tp t="s">
        <v>#N/A Requesting Data...3096159691</v>
        <stp/>
        <stp>BDP|13962277598090608824</stp>
        <tr r="T276" s="2"/>
      </tp>
      <tp t="s">
        <v>#N/A Requesting Data...1458475701</v>
        <stp/>
        <stp>BDP|12026748767244893795</stp>
        <tr r="H83" s="2"/>
      </tp>
      <tp t="s">
        <v>#N/A Requesting Data...3065044754</v>
        <stp/>
        <stp>BDP|10700213212902459154</stp>
        <tr r="O89" s="2"/>
      </tp>
      <tp t="s">
        <v>#N/A Requesting Data...4047610939</v>
        <stp/>
        <stp>BDP|11555475536431579748</stp>
        <tr r="S125" s="2"/>
      </tp>
      <tp t="s">
        <v>#N/A Requesting Data...1649292518</v>
        <stp/>
        <stp>BDP|11374162522326097422</stp>
        <tr r="O184" s="2"/>
      </tp>
      <tp t="s">
        <v>#N/A Requesting Data...3684175478</v>
        <stp/>
        <stp>BDP|14044961541570112932</stp>
        <tr r="H29" s="2"/>
      </tp>
      <tp t="s">
        <v>#N/A Requesting Data...1311603518</v>
        <stp/>
        <stp>BDP|12932240658111785479</stp>
        <tr r="O94" s="2"/>
      </tp>
      <tp t="s">
        <v>#N/A Requesting Data...3635701083</v>
        <stp/>
        <stp>BDP|16185769082938867194</stp>
        <tr r="T283" s="2"/>
      </tp>
      <tp t="s">
        <v>#N/A Requesting Data...1896333451</v>
        <stp/>
        <stp>BDP|10176260725523386352</stp>
        <tr r="U52" s="2"/>
      </tp>
      <tp t="s">
        <v>#N/A Requesting Data...955011150</v>
        <stp/>
        <stp>BDP|10644143370727544138</stp>
        <tr r="U9" s="2"/>
      </tp>
      <tp t="s">
        <v>#N/A Requesting Data...3562457561</v>
        <stp/>
        <stp>BDP|12070074857545236265</stp>
        <tr r="X198" s="2"/>
      </tp>
      <tp t="s">
        <v>#N/A Requesting Data...3186918445</v>
        <stp/>
        <stp>BDP|14843394413650765617</stp>
        <tr r="P234" s="2"/>
      </tp>
      <tp t="s">
        <v>#N/A Requesting Data...3209658390</v>
        <stp/>
        <stp>BDP|11593504004322551631</stp>
        <tr r="S73" s="2"/>
      </tp>
      <tp t="s">
        <v>#N/A Requesting Data...1548815547</v>
        <stp/>
        <stp>BDP|15766995468108179206</stp>
        <tr r="O159" s="2"/>
      </tp>
      <tp t="s">
        <v>#N/A Requesting Data...1092113099</v>
        <stp/>
        <stp>BDP|15899767035039458888</stp>
        <tr r="I52" s="2"/>
      </tp>
      <tp t="s">
        <v>#N/A Requesting Data...3579773571</v>
        <stp/>
        <stp>BDP|13841642042927903609</stp>
        <tr r="U134" s="2"/>
      </tp>
      <tp t="s">
        <v>#N/A Requesting Data...2790863945</v>
        <stp/>
        <stp>BDP|14377392366883208298</stp>
        <tr r="U108" s="2"/>
      </tp>
      <tp t="s">
        <v>#N/A Requesting Data...1233514896</v>
        <stp/>
        <stp>BDP|15583684720847393699</stp>
        <tr r="T246" s="2"/>
      </tp>
      <tp t="s">
        <v>#N/A Requesting Data...3682855784</v>
        <stp/>
        <stp>BDP|17905985215407005835</stp>
        <tr r="S150" s="2"/>
      </tp>
      <tp t="s">
        <v>#N/A Requesting Data...3862810564</v>
        <stp/>
        <stp>BDP|13409334088269092197</stp>
        <tr r="U183" s="2"/>
      </tp>
      <tp t="s">
        <v>#N/A Requesting Data...1867618626</v>
        <stp/>
        <stp>BDP|14386187473994823669</stp>
        <tr r="X24" s="2"/>
      </tp>
      <tp t="s">
        <v>#N/A Requesting Data...2870613544</v>
        <stp/>
        <stp>BDP|10430836399686961716</stp>
        <tr r="T29" s="2"/>
      </tp>
      <tp t="s">
        <v>#N/A Requesting Data...1340227553</v>
        <stp/>
        <stp>BDP|13813416227813099683</stp>
        <tr r="I131" s="2"/>
      </tp>
      <tp t="s">
        <v>#N/A Requesting Data...3042766430</v>
        <stp/>
        <stp>BDP|17583769377030660742</stp>
        <tr r="H169" s="2"/>
      </tp>
      <tp>
        <v>32</v>
        <stp/>
        <stp>BDP|6824245975291827408|22</stp>
        <stp>FIPCO AB Equity</stp>
        <stp>LOW</stp>
        <tr r="L232" s="2"/>
      </tp>
      <tp>
        <v>32.659999999999997</v>
        <stp/>
        <stp>BDP|1031579919201909900|22</stp>
        <stp>GIG AB Equity</stp>
        <stp>LAST_PRICE</stp>
        <tr r="B185" s="2"/>
        <tr r="C185" s="2"/>
      </tp>
      <tp t="s">
        <v>#N/A N/A</v>
        <stp/>
        <stp>BDH|13479016624566920786</stp>
        <tr r="V144" s="2"/>
      </tp>
      <tp t="s">
        <v>#N/A N/A</v>
        <stp/>
        <stp>BDH|11820171074781875615</stp>
        <tr r="V254" s="2"/>
      </tp>
      <tp>
        <v>0.49299999999999999</v>
        <stp/>
        <stp>BDP|17471902928345716902|22</stp>
        <stp>RAOOM AB Equity</stp>
        <stp>CHG_PCT_1M_RT</stp>
        <tr r="E19" s="2"/>
      </tp>
      <tp>
        <v>135224</v>
        <stp/>
        <stp>BDP|5262760337617029061|22</stp>
        <stp>MESC AB Equity</stp>
        <stp>VOLUME</stp>
        <tr r="J21" s="2"/>
      </tp>
      <tp t="s">
        <v>#N/A N/A</v>
        <stp/>
        <stp>BDH|11200066620202377139</stp>
        <tr r="V235" s="2"/>
      </tp>
      <tp t="s">
        <v>#N/A N/A</v>
        <stp/>
        <stp>BDH|16023317925493455447</stp>
        <tr r="V86" s="2"/>
      </tp>
      <tp t="s">
        <v>#N/A N/A</v>
        <stp/>
        <stp>BDH|10450861624239815390</stp>
        <tr r="V272" s="2"/>
      </tp>
      <tp t="s">
        <v>#N/A N/A</v>
        <stp/>
        <stp>BDH|14023394964767412617</stp>
        <tr r="V38" s="2"/>
      </tp>
      <tp t="s">
        <v>#N/A N/A</v>
        <stp/>
        <stp>BDH|11206387032755676463</stp>
        <tr r="V82" s="2"/>
      </tp>
      <tp>
        <v>13.77</v>
        <stp/>
        <stp>BDP|8687992398026512483|22</stp>
        <stp>ASACO AB Equity</stp>
        <stp>LOW</stp>
        <tr r="L127" s="2"/>
      </tp>
      <tp t="s">
        <v>#N/A N/A</v>
        <stp/>
        <stp>BDH|15395808192190938438</stp>
        <tr r="V32" s="2"/>
      </tp>
      <tp t="s">
        <v>#N/A N/A</v>
        <stp/>
        <stp>BDH|13006530940233151198</stp>
        <tr r="V55" s="2"/>
      </tp>
      <tp>
        <v>-15.0741</v>
        <stp/>
        <stp>BDP|7533565236981073647|22</stp>
        <stp>TAMKEEN AB Equity</stp>
        <stp>CHG_PCT_YTD_RT</stp>
        <tr r="F36" s="2"/>
      </tp>
      <tp>
        <v>22.88</v>
        <stp/>
        <stp>BDP|7843014898282527361|22</stp>
        <stp>ARCCO AB Equity</stp>
        <stp>LOW</stp>
        <tr r="L231" s="2"/>
      </tp>
      <tp t="s">
        <v>#N/A N/A</v>
        <stp/>
        <stp>BDH|13710834660369917429</stp>
        <tr r="V173" s="2"/>
      </tp>
      <tp>
        <v>14.4</v>
        <stp/>
        <stp>BDP|15348577413755758078|22</stp>
        <stp>SIPCHEM AB Equity</stp>
        <stp>YEST_LAST_TRADE</stp>
        <tr r="G236" s="2"/>
      </tp>
      <tp>
        <v>31.84</v>
        <stp/>
        <stp>BDP|12047349275308412687|22</stp>
        <stp>MEH AB Equity</stp>
        <stp>LOW</stp>
        <tr r="L152" s="2"/>
      </tp>
      <tp>
        <v>-1.2085000276565552</v>
        <stp/>
        <stp>BDP|15693181999109498159|22</stp>
        <stp>ALMAJED AB Equity</stp>
        <stp>RT_PX_CHG_PCT_1D</stp>
        <tr r="D163" s="2"/>
      </tp>
      <tp>
        <v>31.9</v>
        <stp/>
        <stp>BDP|6235003741289285694|22</stp>
        <stp>NSCSA AB Equity</stp>
        <stp>LAST_PRICE</stp>
        <tr r="B94" s="2"/>
        <tr r="C94" s="2"/>
      </tp>
      <tp>
        <v>12.18</v>
        <stp/>
        <stp>BDP|17340956809342067040|22</stp>
        <stp>KEC AB Equity</stp>
        <stp>ASK</stp>
        <tr r="R263" s="2"/>
      </tp>
      <tp>
        <v>1.5178999900817871</v>
        <stp/>
        <stp>BDP|10079334686952004983|22</stp>
        <stp>ALMARAI AB Equity</stp>
        <stp>RT_PX_CHG_PCT_1D</stp>
        <tr r="D144" s="2"/>
      </tp>
      <tp>
        <v>11.07</v>
        <stp/>
        <stp>BDP|14397708001970115568|22</stp>
        <stp>LAZURDE AB Equity</stp>
        <stp>YEST_LAST_TRADE</stp>
        <tr r="G57" s="2"/>
      </tp>
      <tp>
        <v>38</v>
        <stp/>
        <stp>BDP|730176993352579368|22</stp>
        <stp>MARAFIQ AB Equity</stp>
        <stp>HIGH</stp>
        <tr r="M288" s="2"/>
      </tp>
      <tp>
        <v>44.16</v>
        <stp/>
        <stp>BDP|16412692522827423193|22</stp>
        <stp>SACO AB Equity</stp>
        <stp>ASK</stp>
        <tr r="R45" s="2"/>
      </tp>
      <tp>
        <v>0.6589999794960022</v>
        <stp/>
        <stp>BDP|14813101642743152054|22</stp>
        <stp>PETROR AB Equity</stp>
        <stp>RT_PX_CHG_PCT_1D</stp>
        <tr r="D89" s="2"/>
      </tp>
      <tp>
        <v>18.6402</v>
        <stp/>
        <stp>BDP|9049127010991319879|22</stp>
        <stp>ADES AB Equity</stp>
        <stp>VWAP</stp>
        <tr r="N90" s="2"/>
      </tp>
      <tp>
        <v>18</v>
        <stp/>
        <stp>BDP|11546364011877961754|22</stp>
        <stp>ADCO AB Equity</stp>
        <stp>ASK</stp>
        <tr r="R260" s="2"/>
      </tp>
      <tp>
        <v>65.599999999999994</v>
        <stp/>
        <stp>BDP|14367173284525368807|22</stp>
        <stp>RJHI AB Equity</stp>
        <stp>LOW</stp>
        <tr r="L12" s="2"/>
      </tp>
      <tp>
        <v>7.31</v>
        <stp/>
        <stp>BDP|12450158110145699420|22</stp>
        <stp>SPPC AB Equity</stp>
        <stp>BID</stp>
        <tr r="Q40" s="2"/>
      </tp>
      <tp>
        <v>70.328800000000001</v>
        <stp/>
        <stp>BDP|9142862094839017819|22</stp>
        <stp>NGIC AB Equity</stp>
        <stp>VWAP</stp>
        <tr r="N293" s="2"/>
      </tp>
      <tp>
        <v>2.2486000000000002</v>
        <stp/>
        <stp>BDP|14635029761573901742|22</stp>
        <stp>HB AB Equity</stp>
        <stp>CHG_PCT_YTD_RT</stp>
        <tr r="F139" s="2"/>
      </tp>
      <tp>
        <v>51.9</v>
        <stp/>
        <stp>BDP|12925665213621619574|22</stp>
        <stp>ATAA AB Equity</stp>
        <stp>ASK</stp>
        <tr r="R75" s="2"/>
      </tp>
      <tp>
        <v>-0.27120000123977661</v>
        <stp/>
        <stp>BDP|4918587190003167133|22</stp>
        <stp>TAWUNIYA AB Equity</stp>
        <stp>RT_PX_CHG_PCT_1D</stp>
        <tr r="D183" s="2"/>
      </tp>
      <tp t="s">
        <v>#N/A Requesting Data...1318662623</v>
        <stp/>
        <stp>BDP|10370599412111012417</stp>
        <tr r="S183" s="2"/>
      </tp>
      <tp t="s">
        <v>#N/A Requesting Data...3472096498</v>
        <stp/>
        <stp>BDP|13707022999588299373</stp>
        <tr r="T227" s="2"/>
      </tp>
      <tp t="s">
        <v>#N/A Requesting Data...840654947</v>
        <stp/>
        <stp>BDP|11388723669642609371</stp>
        <tr r="X78" s="2"/>
      </tp>
      <tp t="s">
        <v>#N/A Requesting Data...3984031662</v>
        <stp/>
        <stp>BDP|17111644525897180582</stp>
        <tr r="X73" s="2"/>
      </tp>
      <tp t="s">
        <v>#N/A Requesting Data...2642700750</v>
        <stp/>
        <stp>BDP|11568060808509010927</stp>
        <tr r="U138" s="2"/>
      </tp>
      <tp t="s">
        <v>#N/A Requesting Data...1399040226</v>
        <stp/>
        <stp>BDP|15674677847942813460</stp>
        <tr r="H212" s="2"/>
      </tp>
      <tp t="s">
        <v>#N/A Requesting Data...4165956269</v>
        <stp/>
        <stp>BDP|13717682483085255967</stp>
        <tr r="P55" s="2"/>
      </tp>
      <tp t="s">
        <v>#N/A Requesting Data...4068502830</v>
        <stp/>
        <stp>BDP|10773384907045734777</stp>
        <tr r="S94" s="2"/>
      </tp>
      <tp t="s">
        <v>#N/A Requesting Data...4154558712</v>
        <stp/>
        <stp>BDP|17954544222487559624</stp>
        <tr r="P188" s="2"/>
      </tp>
      <tp t="s">
        <v>#N/A Requesting Data...1044251697</v>
        <stp/>
        <stp>BDP|12294775353125939444</stp>
        <tr r="U8" s="2"/>
      </tp>
      <tp t="s">
        <v>#N/A Requesting Data...3164231537</v>
        <stp/>
        <stp>BDP|12574295964955207213</stp>
        <tr r="I92" s="2"/>
      </tp>
      <tp t="s">
        <v>#N/A Requesting Data...2310505412</v>
        <stp/>
        <stp>BDP|15103538248401552444</stp>
        <tr r="O65" s="2"/>
      </tp>
      <tp t="s">
        <v>#N/A Requesting Data...4285156016</v>
        <stp/>
        <stp>BDP|13909985799706038431</stp>
        <tr r="T235" s="2"/>
      </tp>
      <tp>
        <v>17.04</v>
        <stp/>
        <stp>BDP|6025016228321589890|22</stp>
        <stp>ASLAK AB Equity</stp>
        <stp>ASK</stp>
        <tr r="R219" s="2"/>
      </tp>
      <tp t="s">
        <v>#N/A Requesting Data...1808604756</v>
        <stp/>
        <stp>BDP|11063660733147755283</stp>
        <tr r="T172" s="2"/>
      </tp>
      <tp t="s">
        <v>#N/A Requesting Data...4259471113</v>
        <stp/>
        <stp>BDP|14863943497685077013</stp>
        <tr r="X292" s="2"/>
      </tp>
      <tp t="s">
        <v>#N/A Requesting Data...873408234</v>
        <stp/>
        <stp>BDP|15511497312725251463</stp>
        <tr r="U137" s="2"/>
      </tp>
      <tp t="s">
        <v>#N/A Requesting Data...3082786334</v>
        <stp/>
        <stp>BDP|12651553219630040777</stp>
        <tr r="P230" s="2"/>
      </tp>
      <tp t="s">
        <v>#N/A Requesting Data...1959250453</v>
        <stp/>
        <stp>BDP|12496009563817878235</stp>
        <tr r="T129" s="2"/>
      </tp>
      <tp t="s">
        <v>#N/A Requesting Data...1990943971</v>
        <stp/>
        <stp>BDP|13934643204963751725</stp>
        <tr r="I89" s="2"/>
      </tp>
      <tp t="s">
        <v>#N/A Requesting Data...1711411548</v>
        <stp/>
        <stp>BDP|17909140460960629178</stp>
        <tr r="X271" s="2"/>
      </tp>
      <tp t="s">
        <v>#N/A Requesting Data...2763787217</v>
        <stp/>
        <stp>BDP|10801490491685808947</stp>
        <tr r="T124" s="2"/>
      </tp>
      <tp t="s">
        <v>#N/A Requesting Data...936400260</v>
        <stp/>
        <stp>BDP|12973418530237282361</stp>
        <tr r="I19" s="2"/>
      </tp>
      <tp t="s">
        <v>#N/A Requesting Data...2069153879</v>
        <stp/>
        <stp>BDP|14399434101292766391</stp>
        <tr r="H211" s="2"/>
      </tp>
      <tp t="s">
        <v>#N/A Requesting Data...2050844408</v>
        <stp/>
        <stp>BDP|13742265112296997755</stp>
        <tr r="S199" s="2"/>
      </tp>
      <tp t="s">
        <v>#N/A Requesting Data...790237856</v>
        <stp/>
        <stp>BDP|14727608608175564652</stp>
        <tr r="X11" s="2"/>
      </tp>
      <tp t="s">
        <v>#N/A Requesting Data...1712822546</v>
        <stp/>
        <stp>BDP|13717721675087822573</stp>
        <tr r="I274" s="2"/>
      </tp>
      <tp t="s">
        <v>#N/A Requesting Data...3871445172</v>
        <stp/>
        <stp>BDP|17278481669065576196</stp>
        <tr r="P244" s="2"/>
      </tp>
      <tp t="s">
        <v>#N/A Requesting Data...1760666444</v>
        <stp/>
        <stp>BDP|12518779244906805600</stp>
        <tr r="U129" s="2"/>
      </tp>
      <tp t="s">
        <v>#N/A Requesting Data...933124888</v>
        <stp/>
        <stp>BDP|16067537834961081094</stp>
        <tr r="I17" s="2"/>
      </tp>
      <tp t="s">
        <v>#N/A Requesting Data...3381363868</v>
        <stp/>
        <stp>BDP|15963237153192145199</stp>
        <tr r="H181" s="2"/>
      </tp>
      <tp t="s">
        <v>#N/A Requesting Data...3008917493</v>
        <stp/>
        <stp>BDP|17010200747719342953</stp>
        <tr r="I45" s="2"/>
      </tp>
      <tp t="s">
        <v>#N/A Requesting Data...4202240293</v>
        <stp/>
        <stp>BDP|16637379014262506701</stp>
        <tr r="X242" s="2"/>
      </tp>
      <tp t="s">
        <v>#N/A Requesting Data...2795430386</v>
        <stp/>
        <stp>BDP|16284251743088016940</stp>
        <tr r="P141" s="2"/>
      </tp>
      <tp t="s">
        <v>#N/A Requesting Data...4105804985</v>
        <stp/>
        <stp>BDP|12770596697347999804</stp>
        <tr r="X190" s="2"/>
      </tp>
      <tp t="s">
        <v>#N/A Requesting Data...856622213</v>
        <stp/>
        <stp>BDP|11538519103103714607</stp>
        <tr r="I66" s="2"/>
      </tp>
      <tp t="s">
        <v>#N/A Requesting Data...2790359304</v>
        <stp/>
        <stp>BDP|17723401704332057039</stp>
        <tr r="H15" s="2"/>
      </tp>
      <tp t="s">
        <v>#N/A Requesting Data...2387908602</v>
        <stp/>
        <stp>BDP|16393078365411226031</stp>
        <tr r="T109" s="2"/>
      </tp>
      <tp t="s">
        <v>#N/A Requesting Data...1079153962</v>
        <stp/>
        <stp>BDP|11302208839243942204</stp>
        <tr r="H265" s="2"/>
      </tp>
      <tp t="s">
        <v>#N/A Requesting Data...3538947960</v>
        <stp/>
        <stp>BDP|11561130990200492814</stp>
        <tr r="H45" s="2"/>
      </tp>
      <tp t="s">
        <v>#N/A Requesting Data...3583494259</v>
        <stp/>
        <stp>BDP|17127528737147416733</stp>
        <tr r="U133" s="2"/>
      </tp>
      <tp t="s">
        <v>#N/A Requesting Data...3715355314</v>
        <stp/>
        <stp>BDP|12378311727357599534</stp>
        <tr r="P78" s="2"/>
      </tp>
      <tp t="s">
        <v>#N/A Requesting Data...4120964339</v>
        <stp/>
        <stp>BDP|12589567025811198543</stp>
        <tr r="U34" s="2"/>
      </tp>
      <tp t="s">
        <v>#N/A Requesting Data...2844322649</v>
        <stp/>
        <stp>BDP|14885468888270477916</stp>
        <tr r="P70" s="2"/>
      </tp>
      <tp t="s">
        <v>#N/A Requesting Data...2449733150</v>
        <stp/>
        <stp>BDP|11446506756427730766</stp>
        <tr r="S129" s="2"/>
      </tp>
      <tp t="s">
        <v>#N/A Requesting Data...1180189270</v>
        <stp/>
        <stp>BDP|11059239300867337532</stp>
        <tr r="I254" s="2"/>
      </tp>
      <tp t="s">
        <v>#N/A Requesting Data...4220328309</v>
        <stp/>
        <stp>BDP|11412067214056005749</stp>
        <tr r="O243" s="2"/>
      </tp>
      <tp t="s">
        <v>#N/A Requesting Data...1348744034</v>
        <stp/>
        <stp>BDP|13252599388379914681</stp>
        <tr r="H255" s="2"/>
      </tp>
      <tp t="s">
        <v>#N/A Requesting Data...2345710813</v>
        <stp/>
        <stp>BDP|10912492873390241238</stp>
        <tr r="S78" s="2"/>
      </tp>
      <tp t="s">
        <v>#N/A Requesting Data...3908785077</v>
        <stp/>
        <stp>BDP|15012268232834520131</stp>
        <tr r="O106" s="2"/>
      </tp>
      <tp t="s">
        <v>#N/A Requesting Data...4188070818</v>
        <stp/>
        <stp>BDP|14819584007013222370</stp>
        <tr r="T223" s="2"/>
      </tp>
      <tp t="s">
        <v>#N/A Requesting Data...1999640508</v>
        <stp/>
        <stp>BDP|17263543638897890741</stp>
        <tr r="I2" s="2"/>
      </tp>
      <tp t="s">
        <v>#N/A Requesting Data...1300992010</v>
        <stp/>
        <stp>BDP|13742640788598943401</stp>
        <tr r="T6" s="2"/>
      </tp>
      <tp t="s">
        <v>#N/A Requesting Data...1368963444</v>
        <stp/>
        <stp>BDP|11719257772006457367</stp>
        <tr r="U130" s="2"/>
      </tp>
      <tp>
        <v>50.334499999999998</v>
        <stp/>
        <stp>BDP|16668460044290947188|22</stp>
        <stp>SSP AB Equity</stp>
        <stp>VWAP</stp>
        <tr r="N193" s="2"/>
      </tp>
      <tp t="s">
        <v>#N/A Requesting Data...1783508956</v>
        <stp/>
        <stp>BDP|10572181162935958330</stp>
        <tr r="S51" s="2"/>
      </tp>
      <tp t="s">
        <v>#N/A Requesting Data...1759203098</v>
        <stp/>
        <stp>BDP|12657638336983032568</stp>
        <tr r="I48" s="2"/>
      </tp>
      <tp t="s">
        <v>#N/A Requesting Data...2028038688</v>
        <stp/>
        <stp>BDP|16415208796204719804</stp>
        <tr r="H121" s="2"/>
      </tp>
      <tp t="s">
        <v>#N/A Requesting Data...3750326861</v>
        <stp/>
        <stp>BDP|10264739736415577070</stp>
        <tr r="I148" s="2"/>
      </tp>
      <tp t="s">
        <v>#N/A Requesting Data...1147454444</v>
        <stp/>
        <stp>BDP|13098522066971525041</stp>
        <tr r="T175" s="2"/>
      </tp>
      <tp t="s">
        <v>#N/A Requesting Data...2161857096</v>
        <stp/>
        <stp>BDP|10499263342545069241</stp>
        <tr r="P215" s="2"/>
      </tp>
      <tp t="s">
        <v>#N/A Requesting Data...1541787826</v>
        <stp/>
        <stp>BDP|13475258132290168368</stp>
        <tr r="I119" s="2"/>
      </tp>
      <tp t="s">
        <v>#N/A Requesting Data...3244298833</v>
        <stp/>
        <stp>BDP|17611939123138588570</stp>
        <tr r="T101" s="2"/>
      </tp>
      <tp t="s">
        <v>#N/A Requesting Data...3998316274</v>
        <stp/>
        <stp>BDP|16187543905690386274</stp>
        <tr r="O24" s="2"/>
      </tp>
      <tp t="s">
        <v>#N/A Requesting Data...3401001952</v>
        <stp/>
        <stp>BDP|17089567022530590155</stp>
        <tr r="S13" s="2"/>
      </tp>
      <tp t="s">
        <v>#N/A Requesting Data...2224023904</v>
        <stp/>
        <stp>BDP|10308352311244338705</stp>
        <tr r="S107" s="2"/>
      </tp>
      <tp t="s">
        <v>#N/A Requesting Data...3089990379</v>
        <stp/>
        <stp>BDP|11970565729565559277</stp>
        <tr r="X40" s="2"/>
      </tp>
      <tp t="s">
        <v>#N/A Requesting Data...2669734748</v>
        <stp/>
        <stp>BDP|11917750268277732674</stp>
        <tr r="I159" s="2"/>
      </tp>
      <tp t="s">
        <v>#N/A Requesting Data...1539897871</v>
        <stp/>
        <stp>BDP|10457101813016695764</stp>
        <tr r="T139" s="2"/>
      </tp>
      <tp t="s">
        <v>#N/A Requesting Data...2390847587</v>
        <stp/>
        <stp>BDP|12586127658597123090</stp>
        <tr r="X157" s="2"/>
      </tp>
      <tp t="s">
        <v>#N/A Requesting Data...4227419260</v>
        <stp/>
        <stp>BDP|15264244451472304138</stp>
        <tr r="S185" s="2"/>
      </tp>
      <tp t="s">
        <v>#N/A Requesting Data...1612584835</v>
        <stp/>
        <stp>BDP|12660459906311663649</stp>
        <tr r="I56" s="2"/>
      </tp>
      <tp t="s">
        <v>#N/A Requesting Data...2176356324</v>
        <stp/>
        <stp>BDP|14660910465242609834</stp>
        <tr r="I276" s="2"/>
      </tp>
      <tp t="s">
        <v>#N/A Requesting Data...3932166045</v>
        <stp/>
        <stp>BDP|16596177633882739710</stp>
        <tr r="O174" s="2"/>
      </tp>
      <tp t="s">
        <v>#N/A Requesting Data...3615380469</v>
        <stp/>
        <stp>BDP|11267608056672709153</stp>
        <tr r="I231" s="2"/>
      </tp>
      <tp t="s">
        <v>#N/A Requesting Data...2550067790</v>
        <stp/>
        <stp>BDP|18085215305348160332</stp>
        <tr r="U36" s="2"/>
      </tp>
      <tp t="s">
        <v>#N/A Requesting Data...4205331861</v>
        <stp/>
        <stp>BDP|16444335250648213939</stp>
        <tr r="H94" s="2"/>
      </tp>
      <tp t="s">
        <v>#N/A Requesting Data...2303684560</v>
        <stp/>
        <stp>BDP|16460166958307916453</stp>
        <tr r="U91" s="2"/>
      </tp>
      <tp t="s">
        <v>#N/A Requesting Data...2728381475</v>
        <stp/>
        <stp>BDP|15234912570042288879</stp>
        <tr r="O156" s="2"/>
      </tp>
      <tp>
        <v>17.37</v>
        <stp/>
        <stp>BDP|13479750055869004130|22</stp>
        <stp>GAS AB Equity</stp>
        <stp>OPEN</stp>
        <tr r="K30" s="2"/>
      </tp>
      <tp>
        <v>7.1999996900558472E-2</v>
        <stp/>
        <stp>BDP|437812870490477835|22</stp>
        <stp>SASEIDX Index</stp>
        <stp>RT_PX_CHG_PCT_1D</stp>
        <tr r="D2" s="2"/>
      </tp>
      <tp t="s">
        <v>#N/A N/A</v>
        <stp/>
        <stp>BDH|10067368744260402656</stp>
        <tr r="V228" s="2"/>
      </tp>
      <tp t="s">
        <v>#N/A N/A</v>
        <stp/>
        <stp>BDH|14617764304885415721</stp>
        <tr r="V161" s="2"/>
      </tp>
      <tp t="s">
        <v>#N/A N/A</v>
        <stp/>
        <stp>BDH|17667975581767292064</stp>
        <tr r="V150" s="2"/>
      </tp>
      <tp>
        <v>130.4</v>
        <stp/>
        <stp>BDP|8787187244270889956|22</stp>
        <stp>ASTRA AB Equity</stp>
        <stp>LOW</stp>
        <tr r="L27" s="2"/>
      </tp>
      <tp t="s">
        <v>#N/A N/A</v>
        <stp/>
        <stp>BDH|16704149162671049186</stp>
        <tr r="V77" s="2"/>
      </tp>
      <tp>
        <v>687</v>
        <stp/>
        <stp>BDP|7311262495396755315|22</stp>
        <stp>ELM AB Equity</stp>
        <stp>LAST_PRICE</stp>
        <tr r="C269" s="2"/>
        <tr r="B269" s="2"/>
      </tp>
      <tp t="s">
        <v>#N/A N/A</v>
        <stp/>
        <stp>BDH|12571194500807326551</stp>
        <tr r="V103" s="2"/>
      </tp>
      <tp t="s">
        <v>#N/A N/A</v>
        <stp/>
        <stp>BDH|13192995932931005900</stp>
        <tr r="V145" s="2"/>
      </tp>
      <tp>
        <v>154.9</v>
        <stp/>
        <stp>BDP|666423336059154412|22</stp>
        <stp>JAMJOOMP AB Equity</stp>
        <stp>BID</stp>
        <tr r="Q248" s="2"/>
      </tp>
      <tp>
        <v>437789</v>
        <stp/>
        <stp>BDP|6781410985348683428|22</stp>
        <stp>APPC AB Equity</stp>
        <stp>VOLUME</stp>
        <tr r="J233" s="2"/>
      </tp>
      <tp t="s">
        <v>#N/A N/A</v>
        <stp/>
        <stp>BDH|14338774760613975719</stp>
        <tr r="V42" s="2"/>
      </tp>
      <tp>
        <v>55.25</v>
        <stp/>
        <stp>BDP|11471697973477551844|22</stp>
        <stp>SPM AB Equity</stp>
        <stp>LOW</stp>
        <tr r="L215" s="2"/>
      </tp>
      <tp>
        <v>70.099999999999994</v>
        <stp/>
        <stp>BDP|12475477765203935753|22</stp>
        <stp>NGIC AB Equity</stp>
        <stp>BID</stp>
        <tr r="Q293" s="2"/>
      </tp>
      <tp>
        <v>71.599999999999994</v>
        <stp/>
        <stp>BDP|11348358912186280994|22</stp>
        <stp>RESEARCH AB Equity</stp>
        <stp>YEST_LAST_TRADE</stp>
        <tr r="G242" s="2"/>
      </tp>
      <tp>
        <v>-0.71299999952316284</v>
        <stp/>
        <stp>BDP|12669864143281650713|22</stp>
        <stp>FLYNAS AB Equity</stp>
        <stp>RT_PX_CHG_PCT_1D</stp>
        <tr r="D283" s="2"/>
      </tp>
      <tp>
        <v>5.73</v>
        <stp/>
        <stp>BDP|12648291670204848752|22</stp>
        <stp>ALKHABEE AB Equity</stp>
        <stp>YEST_LAST_TRADE</stp>
        <tr r="G110" s="2"/>
      </tp>
      <tp>
        <v>103.9</v>
        <stp/>
        <stp>BDP|13325822597646160177|22</stp>
        <stp>CARE AB Equity</stp>
        <stp>ASK</stp>
        <tr r="R158" s="2"/>
      </tp>
      <tp>
        <v>192.79259999999999</v>
        <stp/>
        <stp>BDP|7620706673111989678|22</stp>
        <stp>ACWA AB Equity</stp>
        <stp>VWAP</stp>
        <tr r="N289" s="2"/>
      </tp>
      <tp>
        <v>5.0976999999999997</v>
        <stp/>
        <stp>BDP|451924686598277235|22</stp>
        <stp>TAKWEEN AB Equity</stp>
        <stp>VWAP</stp>
        <tr r="N218" s="2"/>
      </tp>
      <tp>
        <v>30.7</v>
        <stp/>
        <stp>BDP|2464168329453547986|22</stp>
        <stp>MESC AB Equity</stp>
        <stp>OPEN</stp>
        <tr r="K21" s="2"/>
      </tp>
      <tp>
        <v>32.36</v>
        <stp/>
        <stp>BDP|15480150795534225372|22</stp>
        <stp>SABB AB Equity</stp>
        <stp>LOW</stp>
        <tr r="L7" s="2"/>
      </tp>
      <tp>
        <v>2.0426000000000002</v>
        <stp/>
        <stp>BDP|9611591147477499653|22</stp>
        <stp>AATD AB Equity</stp>
        <stp>VWAP</stp>
        <tr r="N76" s="2"/>
      </tp>
      <tp>
        <v>169377</v>
        <stp/>
        <stp>BDP|10935167472724560543|22</stp>
        <stp>DWF AB Equity</stp>
        <stp>VOLUME</stp>
        <tr r="J70" s="2"/>
      </tp>
      <tp>
        <v>7.3297999999999996</v>
        <stp/>
        <stp>BDP|560754077552763252|22</stp>
        <stp>AATD AB Equity</stp>
        <stp>CHG_PCT_1M_RT</stp>
        <tr r="E76" s="2"/>
      </tp>
      <tp>
        <v>-9.2667000000000002</v>
        <stp/>
        <stp>BDP|13879750006094199273|22</stp>
        <stp>SPM AB Equity</stp>
        <stp>CHG_PCT_YTD_RT</stp>
        <tr r="F215" s="2"/>
      </tp>
      <tp>
        <v>2393261</v>
        <stp/>
        <stp>BDP|284258204616546543|22</stp>
        <stp>CHEMICAL AB Equity</stp>
        <stp>VOLUME</stp>
        <tr r="J154" s="2"/>
      </tp>
      <tp t="s">
        <v>#N/A Requesting Data...2686893774</v>
        <stp/>
        <stp>BDP|10977314453553042328</stp>
        <tr r="U237" s="2"/>
      </tp>
      <tp>
        <v>7</v>
        <stp/>
        <stp>BDP|887722609433865281|22</stp>
        <stp>ALISADRF AB Equity</stp>
        <stp>ASK</stp>
        <tr r="R109" s="2"/>
      </tp>
      <tp t="s">
        <v>#N/A Requesting Data...4013408105</v>
        <stp/>
        <stp>BDP|18136982289099101683</stp>
        <tr r="P90" s="2"/>
      </tp>
      <tp t="s">
        <v>#N/A Requesting Data...3821806653</v>
        <stp/>
        <stp>BDP|10347976346068378385</stp>
        <tr r="T179" s="2"/>
      </tp>
      <tp t="s">
        <v>#N/A Requesting Data...1749632058</v>
        <stp/>
        <stp>BDP|15280871909292174954</stp>
        <tr r="X228" s="2"/>
      </tp>
      <tp t="s">
        <v>#N/A Requesting Data...3590597426</v>
        <stp/>
        <stp>BDP|12354942099370025468</stp>
        <tr r="O215" s="2"/>
      </tp>
      <tp t="s">
        <v>#N/A Requesting Data...3184207396</v>
        <stp/>
        <stp>BDP|12648284300033442526</stp>
        <tr r="U201" s="2"/>
      </tp>
      <tp t="s">
        <v>#N/A Requesting Data...3059508269</v>
        <stp/>
        <stp>BDP|13146861655319212183</stp>
        <tr r="X184" s="2"/>
      </tp>
      <tp t="s">
        <v>#N/A Requesting Data...4249494771</v>
        <stp/>
        <stp>BDP|16278108529245800683</stp>
        <tr r="P147" s="2"/>
      </tp>
      <tp t="s">
        <v>#N/A Requesting Data...2975591488</v>
        <stp/>
        <stp>BDP|10799996284926692171</stp>
        <tr r="X50" s="2"/>
      </tp>
      <tp t="s">
        <v>#N/A Requesting Data...1731056742</v>
        <stp/>
        <stp>BDP|13848458519137719782</stp>
        <tr r="I74" s="2"/>
      </tp>
      <tp t="s">
        <v>#N/A Requesting Data...1585933417</v>
        <stp/>
        <stp>BDP|15345311534990531383</stp>
        <tr r="I207" s="2"/>
      </tp>
      <tp t="s">
        <v>#N/A Requesting Data...2266507529</v>
        <stp/>
        <stp>BDP|12595881386675473145</stp>
        <tr r="S257" s="2"/>
      </tp>
      <tp t="s">
        <v>#N/A Requesting Data...3619727327</v>
        <stp/>
        <stp>BDP|18168543363365821856</stp>
        <tr r="U250" s="2"/>
      </tp>
      <tp t="s">
        <v>#N/A Requesting Data...3365862882</v>
        <stp/>
        <stp>BDP|11122081853657516545</stp>
        <tr r="O187" s="2"/>
      </tp>
      <tp t="s">
        <v>#N/A Requesting Data...1327640730</v>
        <stp/>
        <stp>BDP|10866257271573026071</stp>
        <tr r="T147" s="2"/>
      </tp>
      <tp t="s">
        <v>#N/A Requesting Data...3509214107</v>
        <stp/>
        <stp>BDP|15492155874401998469</stp>
        <tr r="O171" s="2"/>
      </tp>
      <tp t="s">
        <v>#N/A Requesting Data...1651673598</v>
        <stp/>
        <stp>BDP|11149417832206990616</stp>
        <tr r="O5" s="2"/>
      </tp>
      <tp t="s">
        <v>#N/A Requesting Data...3797885439</v>
        <stp/>
        <stp>BDP|14892461255430998388</stp>
        <tr r="S153" s="2"/>
      </tp>
      <tp t="s">
        <v>#N/A Requesting Data...1677365800</v>
        <stp/>
        <stp>BDP|17783106539045315672</stp>
        <tr r="X53" s="2"/>
      </tp>
      <tp t="s">
        <v>#N/A Requesting Data...2973866492</v>
        <stp/>
        <stp>BDP|12585364769656182717</stp>
        <tr r="U235" s="2"/>
      </tp>
      <tp t="s">
        <v>#N/A Requesting Data...3055591475</v>
        <stp/>
        <stp>BDP|16915360238731399197</stp>
        <tr r="P202" s="2"/>
      </tp>
      <tp t="s">
        <v>#N/A Requesting Data...1607255664</v>
        <stp/>
        <stp>BDP|16663613079474783541</stp>
        <tr r="O9" s="2"/>
      </tp>
      <tp t="s">
        <v>#N/A Requesting Data...1352814688</v>
        <stp/>
        <stp>BDP|11475380552555610450</stp>
        <tr r="P4" s="2"/>
      </tp>
      <tp t="s">
        <v>#N/A Requesting Data...1725597949</v>
        <stp/>
        <stp>BDP|12834901786801084432</stp>
        <tr r="O256" s="2"/>
      </tp>
      <tp t="s">
        <v>#N/A Requesting Data...1284452734</v>
        <stp/>
        <stp>BDP|17915402724920625773</stp>
        <tr r="T180" s="2"/>
      </tp>
      <tp t="s">
        <v>#N/A Requesting Data...1838471685</v>
        <stp/>
        <stp>BDP|11857056504726785126</stp>
        <tr r="I187" s="2"/>
      </tp>
      <tp t="s">
        <v>#N/A Requesting Data...2957148647</v>
        <stp/>
        <stp>BDP|15701768359910249164</stp>
        <tr r="U260" s="2"/>
      </tp>
      <tp t="s">
        <v>#N/A Requesting Data...2907930333</v>
        <stp/>
        <stp>BDP|18207103586085809203</stp>
        <tr r="P213" s="2"/>
      </tp>
      <tp t="s">
        <v>#N/A Requesting Data...4023961451</v>
        <stp/>
        <stp>BDP|17960844208580836912</stp>
        <tr r="U186" s="2"/>
      </tp>
      <tp t="s">
        <v>#N/A Requesting Data...3445491654</v>
        <stp/>
        <stp>BDP|12852195007155182080</stp>
        <tr r="O123" s="2"/>
      </tp>
      <tp t="s">
        <v>#N/A Requesting Data...2498399713</v>
        <stp/>
        <stp>BDP|16549154711552680285</stp>
        <tr r="P42" s="2"/>
      </tp>
      <tp t="s">
        <v>#N/A Requesting Data...1188913894</v>
        <stp/>
        <stp>BDP|11360427415527306587</stp>
        <tr r="U196" s="2"/>
      </tp>
      <tp t="s">
        <v>#N/A Requesting Data...2388002699</v>
        <stp/>
        <stp>BDP|12080349232730921402</stp>
        <tr r="H143" s="2"/>
      </tp>
      <tp t="s">
        <v>#N/A Requesting Data...2427383962</v>
        <stp/>
        <stp>BDP|17936040053124645073</stp>
        <tr r="I283" s="2"/>
      </tp>
      <tp t="s">
        <v>#N/A Requesting Data...4183670954</v>
        <stp/>
        <stp>BDP|11137967570178063199</stp>
        <tr r="T286" s="2"/>
      </tp>
      <tp t="s">
        <v>#N/A Requesting Data...2214318133</v>
        <stp/>
        <stp>BDP|17355218825630958102</stp>
        <tr r="U12" s="2"/>
      </tp>
      <tp t="s">
        <v>#N/A Requesting Data...1555174671</v>
        <stp/>
        <stp>BDP|12482693392908113300</stp>
        <tr r="O242" s="2"/>
      </tp>
      <tp t="s">
        <v>#N/A Requesting Data...2343927724</v>
        <stp/>
        <stp>BDP|17004513909430608403</stp>
        <tr r="P247" s="2"/>
      </tp>
      <tp t="s">
        <v>#N/A Requesting Data...3951943430</v>
        <stp/>
        <stp>BDP|14997615893058814523</stp>
        <tr r="U118" s="2"/>
      </tp>
      <tp t="s">
        <v>#N/A Requesting Data...2745631062</v>
        <stp/>
        <stp>BDP|11570492769002081741</stp>
        <tr r="U81" s="2"/>
      </tp>
      <tp t="s">
        <v>#N/A Requesting Data...2833586088</v>
        <stp/>
        <stp>BDP|11891877038714695803</stp>
        <tr r="O154" s="2"/>
      </tp>
      <tp t="s">
        <v>#N/A Requesting Data...2473920039</v>
        <stp/>
        <stp>BDP|10619277224863099545</stp>
        <tr r="O58" s="2"/>
      </tp>
      <tp t="s">
        <v>#N/A Requesting Data...4284286469</v>
        <stp/>
        <stp>BDP|10792127164359401848</stp>
        <tr r="X193" s="2"/>
      </tp>
      <tp t="s">
        <v>#N/A Requesting Data...3409415789</v>
        <stp/>
        <stp>BDP|15405009575164384029</stp>
        <tr r="I241" s="2"/>
      </tp>
      <tp t="s">
        <v>#N/A Requesting Data...1266303557</v>
        <stp/>
        <stp>BDP|11351414306906474503</stp>
        <tr r="S255" s="2"/>
      </tp>
      <tp t="s">
        <v>#N/A Requesting Data...2663469103</v>
        <stp/>
        <stp>BDP|14526544641724204722</stp>
        <tr r="U246" s="2"/>
      </tp>
      <tp t="s">
        <v>#N/A Requesting Data...3379928038</v>
        <stp/>
        <stp>BDP|17835157978306705126</stp>
        <tr r="S251" s="2"/>
      </tp>
      <tp t="s">
        <v>#N/A Requesting Data...2516302594</v>
        <stp/>
        <stp>BDP|17268081899138224015</stp>
        <tr r="O169" s="2"/>
      </tp>
      <tp t="s">
        <v>#N/A Requesting Data...2634043934</v>
        <stp/>
        <stp>BDP|13909130744385662585</stp>
        <tr r="T23" s="2"/>
      </tp>
      <tp t="s">
        <v>#N/A Requesting Data...3786591155</v>
        <stp/>
        <stp>BDP|11465668481768515157</stp>
        <tr r="H78" s="2"/>
      </tp>
      <tp t="s">
        <v>#N/A Requesting Data...3240827814</v>
        <stp/>
        <stp>BDP|12050088047718903855</stp>
        <tr r="H20" s="2"/>
      </tp>
      <tp t="s">
        <v>#N/A Requesting Data...2941196896</v>
        <stp/>
        <stp>BDP|15433217107547001613</stp>
        <tr r="X282" s="2"/>
      </tp>
      <tp t="s">
        <v>#N/A Requesting Data...2155867083</v>
        <stp/>
        <stp>BDP|18038525564764598909</stp>
        <tr r="X120" s="2"/>
      </tp>
      <tp t="s">
        <v>#N/A Requesting Data...1267527036</v>
        <stp/>
        <stp>BDP|13482413652226291260</stp>
        <tr r="X167" s="2"/>
      </tp>
      <tp t="s">
        <v>#N/A Requesting Data...4235192598</v>
        <stp/>
        <stp>BDP|17587434109324804155</stp>
        <tr r="O73" s="2"/>
      </tp>
      <tp t="s">
        <v>#N/A Requesting Data...3354912627</v>
        <stp/>
        <stp>BDP|13006632265886602322</stp>
        <tr r="X258" s="2"/>
      </tp>
      <tp t="s">
        <v>#N/A Requesting Data...1249290219</v>
        <stp/>
        <stp>BDP|10020976413327605908</stp>
        <tr r="I117" s="2"/>
      </tp>
      <tp t="s">
        <v>#N/A Requesting Data...2477138374</v>
        <stp/>
        <stp>BDP|14456207809934667493</stp>
        <tr r="U174" s="2"/>
      </tp>
      <tp>
        <v>8.76</v>
        <stp/>
        <stp>BDP|5674773358741515030|22</stp>
        <stp>AMLAK AB Equity</stp>
        <stp>LOW</stp>
        <tr r="L122" s="2"/>
      </tp>
      <tp t="s">
        <v>#N/A Requesting Data...1972344271</v>
        <stp/>
        <stp>BDP|11907582882038783216</stp>
        <tr r="U123" s="2"/>
      </tp>
      <tp t="s">
        <v>#N/A Requesting Data...1254502859</v>
        <stp/>
        <stp>BDP|11641348655023641248</stp>
        <tr r="T71" s="2"/>
      </tp>
      <tp t="s">
        <v>#N/A Requesting Data...2055070834</v>
        <stp/>
        <stp>BDP|14630194859374033232</stp>
        <tr r="S258" s="2"/>
      </tp>
      <tp t="s">
        <v>#N/A Requesting Data...3652158392</v>
        <stp/>
        <stp>BDP|14862365339141653342</stp>
        <tr r="U150" s="2"/>
      </tp>
      <tp t="s">
        <v>#N/A Requesting Data...3952792755</v>
        <stp/>
        <stp>BDP|17874392235162550344</stp>
        <tr r="S281" s="2"/>
      </tp>
      <tp t="s">
        <v>#N/A Requesting Data...2481439922</v>
        <stp/>
        <stp>BDP|13103059622514581360</stp>
        <tr r="H49" s="2"/>
      </tp>
      <tp t="s">
        <v>#N/A Requesting Data...3755607537</v>
        <stp/>
        <stp>BDP|17661700472843838286</stp>
        <tr r="P10" s="2"/>
      </tp>
      <tp t="s">
        <v>#N/A Requesting Data...3599993088</v>
        <stp/>
        <stp>BDP|11542496479803851790</stp>
        <tr r="S192" s="2"/>
      </tp>
      <tp t="s">
        <v>#N/A Requesting Data...2137528072</v>
        <stp/>
        <stp>BDP|13192231940941145279</stp>
        <tr r="I188" s="2"/>
      </tp>
      <tp t="s">
        <v>#N/A Requesting Data...3671293108</v>
        <stp/>
        <stp>BDP|11784359263757474513</stp>
        <tr r="I34" s="2"/>
      </tp>
      <tp t="s">
        <v>#N/A Requesting Data...2560918534</v>
        <stp/>
        <stp>BDP|10602533753112237403</stp>
        <tr r="I129" s="2"/>
      </tp>
      <tp t="s">
        <v>#N/A Requesting Data...4144991050</v>
        <stp/>
        <stp>BDP|16589424994108773535</stp>
        <tr r="T182" s="2"/>
      </tp>
      <tp t="s">
        <v>#N/A Requesting Data...3024632267</v>
        <stp/>
        <stp>BDP|17209724722822588608</stp>
        <tr r="H279" s="2"/>
      </tp>
      <tp t="s">
        <v>#N/A Requesting Data...2799561829</v>
        <stp/>
        <stp>BDP|16412354943522707522</stp>
        <tr r="S290" s="2"/>
      </tp>
      <tp t="s">
        <v>#N/A Requesting Data...3488008309</v>
        <stp/>
        <stp>BDP|14930230471361587698</stp>
        <tr r="T205" s="2"/>
      </tp>
      <tp t="s">
        <v>#N/A Requesting Data...4255988158</v>
        <stp/>
        <stp>BDP|17659727636437686223</stp>
        <tr r="O86" s="2"/>
      </tp>
      <tp t="s">
        <v>#N/A Requesting Data...1834195231</v>
        <stp/>
        <stp>BDP|18393920661775657406</stp>
        <tr r="O99" s="2"/>
      </tp>
      <tp t="s">
        <v>#N/A Requesting Data...2837568279</v>
        <stp/>
        <stp>BDP|14103276082900684844</stp>
        <tr r="U76" s="2"/>
      </tp>
      <tp t="s">
        <v>#N/A Requesting Data...1938572418</v>
        <stp/>
        <stp>BDP|14813021401383565184</stp>
        <tr r="X133" s="2"/>
      </tp>
      <tp t="s">
        <v>#N/A Requesting Data...1140401794</v>
        <stp/>
        <stp>BDP|13289644602823365012</stp>
        <tr r="U6" s="2"/>
      </tp>
      <tp>
        <v>231.4753</v>
        <stp/>
        <stp>BDP|10458768941651210605|22</stp>
        <stp>MIS AB Equity</stp>
        <stp>VWAP</stp>
        <tr r="N268" s="2"/>
      </tp>
      <tp>
        <v>-1.2132000000000001</v>
        <stp/>
        <stp>BDP|13448146276473785105|22</stp>
        <stp>CMCER AB Equity</stp>
        <stp>CHG_PCT_1M_RT</stp>
        <tr r="E161" s="2"/>
      </tp>
      <tp>
        <v>263624</v>
        <stp/>
        <stp>BDP|8114658179207944529|22</stp>
        <stp>LIVA AB Equity</stp>
        <stp>VOLUME</stp>
        <tr r="J173" s="2"/>
      </tp>
      <tp>
        <v>101.01779999999999</v>
        <stp/>
        <stp>BDP|14321022312953872805|22</stp>
        <stp>SFICO AB Equity</stp>
        <stp>CHG_PCT_1M_RT</stp>
        <tr r="E130" s="2"/>
      </tp>
      <tp t="s">
        <v>#N/A N/A</v>
        <stp/>
        <stp>BDH|17303621751401844310</stp>
        <tr r="V122" s="2"/>
      </tp>
      <tp t="s">
        <v>#N/A N/A</v>
        <stp/>
        <stp>BDH|15055382525681639324</stp>
        <tr r="V184" s="2"/>
      </tp>
      <tp t="s">
        <v>#N/A N/A</v>
        <stp/>
        <stp>BDH|15615496376364021437</stp>
        <tr r="V201" s="2"/>
      </tp>
      <tp t="s">
        <v>#N/A N/A</v>
        <stp/>
        <stp>BDH|11778168594349992604</stp>
        <tr r="V181" s="2"/>
      </tp>
      <tp t="s">
        <v>#N/A N/A</v>
        <stp/>
        <stp>BDH|12884478761412131405</stp>
        <tr r="V5" s="2"/>
      </tp>
      <tp>
        <v>-13.6631</v>
        <stp/>
        <stp>BDP|9091190016048503383|22</stp>
        <stp>SPPC AB Equity</stp>
        <stp>CHG_PCT_YTD_RT</stp>
        <tr r="F40" s="2"/>
      </tp>
      <tp>
        <v>-0.2717</v>
        <stp/>
        <stp>BDP|5825050484784160710|22</stp>
        <stp>ALASEEL AB Equity</stp>
        <stp>CHG_PCT_1M_RT</stp>
        <tr r="E59" s="2"/>
      </tp>
      <tp>
        <v>0.26789999008178711</v>
        <stp/>
        <stp>BDP|11534257518511408504|22</stp>
        <stp>SAPTCO AB Equity</stp>
        <stp>RT_PX_CHG_PCT_1D</stp>
        <tr r="D279" s="2"/>
      </tp>
      <tp>
        <v>11.16</v>
        <stp/>
        <stp>BDP|16922690332645313656|22</stp>
        <stp>AADC AB Equity</stp>
        <stp>BID</stp>
        <tr r="Q128" s="2"/>
      </tp>
      <tp>
        <v>25.54</v>
        <stp/>
        <stp>BDP|2640941804098314405|22</stp>
        <stp>UCIC AB Equity</stp>
        <stp>HIGH</stp>
        <tr r="M194" s="2"/>
      </tp>
      <tp>
        <v>132.9</v>
        <stp/>
        <stp>BDP|11373365805261488033|22</stp>
        <stp>TADAWULG AB Equity</stp>
        <stp>YEST_LAST_TRADE</stp>
        <tr r="G120" s="2"/>
      </tp>
      <tp>
        <v>7.15</v>
        <stp/>
        <stp>BDP|10670662174961436702|22</stp>
        <stp>ALMAJDIA AB Equity</stp>
        <stp>YEST_LAST_TRADE</stp>
        <tr r="G261" s="2"/>
      </tp>
      <tp>
        <v>19.91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17.8</v>
        <stp/>
        <stp>BDP|12890129797476190422|22</stp>
        <stp>SECO AB Equity</stp>
        <stp>BID</stp>
        <tr r="Q291" s="2"/>
      </tp>
      <tp>
        <v>32.340000000000003</v>
        <stp/>
        <stp>BDP|10764802626568020171|22</stp>
        <stp>SABB AB Equity</stp>
        <stp>BID</stp>
        <tr r="Q7" s="2"/>
      </tp>
      <tp>
        <v>11.2</v>
        <stp/>
        <stp>BDP|14374175633799506955|22</stp>
        <stp>AADC AB Equity</stp>
        <stp>ASK</stp>
        <tr r="R128" s="2"/>
      </tp>
      <tp>
        <v>-12.0219</v>
        <stp/>
        <stp>BDP|141598885086940131|22</stp>
        <stp>ALKATHIR AB Equity</stp>
        <stp>CHG_PCT_YTD_RT</stp>
        <tr r="F203" s="2"/>
      </tp>
      <tp>
        <v>-0.2531999945640564</v>
        <stp/>
        <stp>BDP|1032835107470469790|22</stp>
        <stp>MUSHREIT AB Equity</stp>
        <stp>RT_PX_CHG_PCT_1D</stp>
        <tr r="D103" s="2"/>
      </tp>
      <tp>
        <v>23.61</v>
        <stp/>
        <stp>BDP|1394267329702198772|22</stp>
        <stp>ALMASARA AB Equity</stp>
        <stp>LAST_PRICE</stp>
        <tr r="B78" s="2"/>
        <tr r="C78" s="2"/>
      </tp>
      <tp t="s">
        <v>#N/A Requesting Data...1531139029</v>
        <stp/>
        <stp>BDP|14884508562648683855</stp>
        <tr r="P8" s="2"/>
      </tp>
      <tp t="s">
        <v>#N/A Requesting Data...3204846127</v>
        <stp/>
        <stp>BDP|10072308634172548587</stp>
        <tr r="T151" s="2"/>
      </tp>
      <tp t="s">
        <v>#N/A Requesting Data...2518378986</v>
        <stp/>
        <stp>BDP|10027783168523175580</stp>
        <tr r="O125" s="2"/>
      </tp>
      <tp t="s">
        <v>#N/A Requesting Data...2544670303</v>
        <stp/>
        <stp>BDP|13430137178005113775</stp>
        <tr r="S277" s="2"/>
      </tp>
      <tp t="s">
        <v>#N/A Requesting Data...1063350857</v>
        <stp/>
        <stp>BDP|15182933126858835156</stp>
        <tr r="U107" s="2"/>
      </tp>
      <tp t="s">
        <v>#N/A Requesting Data...2509127726</v>
        <stp/>
        <stp>BDP|15804354849747533284</stp>
        <tr r="P292" s="2"/>
      </tp>
      <tp t="s">
        <v>#N/A Requesting Data...1387286068</v>
        <stp/>
        <stp>BDP|14830608605266632333</stp>
        <tr r="S35" s="2"/>
      </tp>
      <tp t="s">
        <v>#N/A Requesting Data...3075826420</v>
        <stp/>
        <stp>BDP|10482905088662456437</stp>
        <tr r="T200" s="2"/>
      </tp>
      <tp t="s">
        <v>#N/A Requesting Data...1510896585</v>
        <stp/>
        <stp>BDP|17279057069587686132</stp>
        <tr r="S37" s="2"/>
      </tp>
      <tp t="s">
        <v>#N/A Requesting Data...2008858159</v>
        <stp/>
        <stp>BDP|11285216825392959449</stp>
        <tr r="H197" s="2"/>
      </tp>
      <tp t="s">
        <v>#N/A Requesting Data...1799297971</v>
        <stp/>
        <stp>BDP|14991149746373710577</stp>
        <tr r="X281" s="2"/>
      </tp>
      <tp t="s">
        <v>#N/A Requesting Data...1594799751</v>
        <stp/>
        <stp>BDP|17184145221003638088</stp>
        <tr r="X192" s="2"/>
      </tp>
      <tp t="s">
        <v>#N/A Requesting Data...1146046567</v>
        <stp/>
        <stp>BDP|12535876465002574987</stp>
        <tr r="S134" s="2"/>
      </tp>
      <tp t="s">
        <v>#N/A Requesting Data...3605227980</v>
        <stp/>
        <stp>BDP|14580059090849817355</stp>
        <tr r="T49" s="2"/>
      </tp>
      <tp t="s">
        <v>#N/A Requesting Data...1323532972</v>
        <stp/>
        <stp>BDP|14886304998400406989</stp>
        <tr r="I223" s="2"/>
      </tp>
      <tp t="s">
        <v>#N/A Requesting Data...2226822160</v>
        <stp/>
        <stp>BDP|11336360348572196330</stp>
        <tr r="O82" s="2"/>
      </tp>
      <tp t="s">
        <v>#N/A Requesting Data...3532454950</v>
        <stp/>
        <stp>BDP|17119366232262943236</stp>
        <tr r="H68" s="2"/>
      </tp>
      <tp t="s">
        <v>#N/A Requesting Data...1140341112</v>
        <stp/>
        <stp>BDP|15025808540899738786</stp>
        <tr r="S271" s="2"/>
      </tp>
      <tp t="s">
        <v>#N/A Requesting Data...1471209548</v>
        <stp/>
        <stp>BDP|11827655649942983623</stp>
        <tr r="X233" s="2"/>
      </tp>
      <tp t="s">
        <v>#N/A Requesting Data...2129466736</v>
        <stp/>
        <stp>BDP|13103002924857388196</stp>
        <tr r="O18" s="2"/>
      </tp>
      <tp t="s">
        <v>#N/A Requesting Data...3606108761</v>
        <stp/>
        <stp>BDP|17434565509094452116</stp>
        <tr r="P21" s="2"/>
      </tp>
      <tp t="s">
        <v>#N/A Requesting Data...3860710278</v>
        <stp/>
        <stp>BDP|13634356116994334270</stp>
        <tr r="U101" s="2"/>
      </tp>
      <tp t="s">
        <v>#N/A Requesting Data...2355973785</v>
        <stp/>
        <stp>BDP|13260115967304184744</stp>
        <tr r="T184" s="2"/>
      </tp>
      <tp t="s">
        <v>#N/A Requesting Data...2220519350</v>
        <stp/>
        <stp>BDP|14296157912066627520</stp>
        <tr r="T282" s="2"/>
      </tp>
      <tp t="s">
        <v>#N/A Requesting Data...3481359350</v>
        <stp/>
        <stp>BDP|18228240898076869274</stp>
        <tr r="I181" s="2"/>
      </tp>
      <tp t="s">
        <v>#N/A Requesting Data...2218167548</v>
        <stp/>
        <stp>BDP|10293527627678596836</stp>
        <tr r="H64" s="2"/>
      </tp>
      <tp t="s">
        <v>#N/A Requesting Data...3906689131</v>
        <stp/>
        <stp>BDP|15525701106720585567</stp>
        <tr r="P276" s="2"/>
      </tp>
      <tp t="s">
        <v>#N/A Requesting Data...1090183614</v>
        <stp/>
        <stp>BDP|14513482644474874718</stp>
        <tr r="X85" s="2"/>
      </tp>
      <tp t="s">
        <v>#N/A Requesting Data...4146454806</v>
        <stp/>
        <stp>BDP|16226039845513692628</stp>
        <tr r="S139" s="2"/>
      </tp>
      <tp t="s">
        <v>#N/A Requesting Data...2804320043</v>
        <stp/>
        <stp>BDP|17226465061165559700</stp>
        <tr r="S64" s="2"/>
      </tp>
      <tp t="s">
        <v>#N/A Requesting Data...2328753554</v>
        <stp/>
        <stp>BDP|16089644505090187707</stp>
        <tr r="I153" s="2"/>
      </tp>
      <tp t="s">
        <v>#N/A Requesting Data...2117208274</v>
        <stp/>
        <stp>BDP|14573688905594107198</stp>
        <tr r="H225" s="2"/>
      </tp>
      <tp t="s">
        <v>#N/A Requesting Data...3241833766</v>
        <stp/>
        <stp>BDP|16757435971686445412</stp>
        <tr r="I76" s="2"/>
      </tp>
      <tp t="s">
        <v>#N/A Requesting Data...2508586347</v>
        <stp/>
        <stp>BDP|16435126014311872092</stp>
        <tr r="I42" s="2"/>
      </tp>
      <tp t="s">
        <v>#N/A Requesting Data...2869454768</v>
        <stp/>
        <stp>BDP|16507091099661520937</stp>
        <tr r="P127" s="2"/>
      </tp>
      <tp t="s">
        <v>#N/A Requesting Data...2968222095</v>
        <stp/>
        <stp>BDP|16700022315985446578</stp>
        <tr r="T58" s="2"/>
      </tp>
      <tp t="s">
        <v>#N/A Requesting Data...1718798042</v>
        <stp/>
        <stp>BDP|16390905094547165658</stp>
        <tr r="I152" s="2"/>
      </tp>
      <tp t="s">
        <v>#N/A Requesting Data...2359182528</v>
        <stp/>
        <stp>BDP|11193193642952893104</stp>
        <tr r="X29" s="2"/>
      </tp>
      <tp>
        <v>3.28</v>
        <stp/>
        <stp>BDP|11706039861136049285|22</stp>
        <stp>UCA AB Equity</stp>
        <stp>OPEN</stp>
        <tr r="K181" s="2"/>
      </tp>
      <tp t="s">
        <v>#N/A Requesting Data...4145594234</v>
        <stp/>
        <stp>BDP|11300269500915880183</stp>
        <tr r="O38" s="2"/>
      </tp>
      <tp t="s">
        <v>#N/A Requesting Data...2051759121</v>
        <stp/>
        <stp>BDP|10664936370851491847</stp>
        <tr r="T35" s="2"/>
      </tp>
      <tp t="s">
        <v>#N/A Requesting Data...2956918967</v>
        <stp/>
        <stp>BDP|12923390136995087036</stp>
        <tr r="S206" s="2"/>
      </tp>
      <tp t="s">
        <v>#N/A Requesting Data...2702493443</v>
        <stp/>
        <stp>BDP|11710708802515715467</stp>
        <tr r="S106" s="2"/>
      </tp>
      <tp t="s">
        <v>#N/A Requesting Data...4016911485</v>
        <stp/>
        <stp>BDP|17666303462856740370</stp>
        <tr r="O183" s="2"/>
      </tp>
      <tp t="s">
        <v>#N/A Requesting Data...2017872123</v>
        <stp/>
        <stp>BDP|15049440301567372129</stp>
        <tr r="T53" s="2"/>
      </tp>
      <tp t="s">
        <v>#N/A Requesting Data...1497007031</v>
        <stp/>
        <stp>BDP|16973686542596537528</stp>
        <tr r="U32" s="2"/>
      </tp>
      <tp t="s">
        <v>#N/A Requesting Data...2207371975</v>
        <stp/>
        <stp>BDP|16886764398469519675</stp>
        <tr r="I47" s="2"/>
      </tp>
      <tp t="s">
        <v>#N/A Requesting Data...1395928368</v>
        <stp/>
        <stp>BDP|10470955523784020864</stp>
        <tr r="P236" s="2"/>
      </tp>
      <tp t="s">
        <v>#N/A Requesting Data...3467590032</v>
        <stp/>
        <stp>BDP|14344720250703665236</stp>
        <tr r="H123" s="2"/>
      </tp>
      <tp t="s">
        <v>#N/A Requesting Data...2529430958</v>
        <stp/>
        <stp>BDP|13465629145526355049</stp>
        <tr r="O200" s="2"/>
      </tp>
      <tp>
        <v>1423177</v>
        <stp/>
        <stp>BDP|2996233991110632240|22</stp>
        <stp>SIPCHEM AB Equity</stp>
        <stp>VOLUME</stp>
        <tr r="J236" s="2"/>
      </tp>
      <tp t="s">
        <v>#N/A Requesting Data...3030213467</v>
        <stp/>
        <stp>BDP|17058800835659394214</stp>
        <tr r="T160" s="2"/>
      </tp>
      <tp t="s">
        <v>#N/A Requesting Data...2922515134</v>
        <stp/>
        <stp>BDP|18394426100512231945</stp>
        <tr r="S208" s="2"/>
      </tp>
      <tp t="s">
        <v>#N/A Requesting Data...2807219825</v>
        <stp/>
        <stp>BDP|14249625740004343546</stp>
        <tr r="X27" s="2"/>
      </tp>
      <tp t="s">
        <v>#N/A Requesting Data...3922937939</v>
        <stp/>
        <stp>BDP|16451398905107611598</stp>
        <tr r="S47" s="2"/>
      </tp>
      <tp t="s">
        <v>#N/A Requesting Data...3232297634</v>
        <stp/>
        <stp>BDP|12781678962043219674</stp>
        <tr r="O67" s="2"/>
      </tp>
      <tp t="s">
        <v>#N/A Requesting Data...2537105704</v>
        <stp/>
        <stp>BDP|13042601126347484747</stp>
        <tr r="T138" s="2"/>
      </tp>
      <tp t="s">
        <v>#N/A Requesting Data...1476216302</v>
        <stp/>
        <stp>BDP|17207651044501344367</stp>
        <tr r="S6" s="2"/>
      </tp>
      <tp t="s">
        <v>#N/A N/A</v>
        <stp/>
        <stp>BDH|12990685033331210113</stp>
        <tr r="V264" s="2"/>
      </tp>
      <tp>
        <v>6.7107000000000001</v>
        <stp/>
        <stp>BDP|1723261316724234615|22</stp>
        <stp>ACWA AB Equity</stp>
        <stp>CHG_PCT_YTD_RT</stp>
        <tr r="F289" s="2"/>
      </tp>
      <tp>
        <v>18.920000000000002</v>
        <stp/>
        <stp>BDP|12464854227381404248|22</stp>
        <stp>ACE AB Equity</stp>
        <stp>OPEN</stp>
        <tr r="K177" s="2"/>
      </tp>
      <tp>
        <v>-0.58309999999999995</v>
        <stp/>
        <stp>BDP|11231969343809342018|22</stp>
        <stp>MEFIC AB Equity</stp>
        <stp>CHG_PCT_1M_RT</stp>
        <tr r="E108" s="2"/>
      </tp>
      <tp>
        <v>45172</v>
        <stp/>
        <stp>BDP|4243865080232452151|22</stp>
        <stp>TANMIAH AB Equity</stp>
        <stp>VOLUME</stp>
        <tr r="J146" s="2"/>
      </tp>
      <tp t="s">
        <v>#N/A N/A</v>
        <stp/>
        <stp>BDH|13413647929319917982</stp>
        <tr r="V117" s="2"/>
      </tp>
      <tp t="s">
        <v>#N/A N/A</v>
        <stp/>
        <stp>BDH|12048944299702588736</stp>
        <tr r="V252" s="2"/>
      </tp>
      <tp t="s">
        <v>#N/A N/A</v>
        <stp/>
        <stp>BDH|17182315464460834577</stp>
        <tr r="V19" s="2"/>
      </tp>
      <tp t="s">
        <v>#N/A N/A</v>
        <stp/>
        <stp>BDH|10975114667407394767</stp>
        <tr r="V104" s="2"/>
      </tp>
      <tp>
        <v>83.1</v>
        <stp/>
        <stp>BDP|7355604617045265116|22</stp>
        <stp>MCDCO AB Equity</stp>
        <stp>ASK</stp>
        <tr r="R257" s="2"/>
      </tp>
      <tp>
        <v>769924</v>
        <stp/>
        <stp>BDP|4531486903080896026|22</stp>
        <stp>MIAHONA AB Equity</stp>
        <stp>VOLUME</stp>
        <tr r="J292" s="2"/>
      </tp>
      <tp t="s">
        <v>#N/A N/A</v>
        <stp/>
        <stp>BDH|11563417075536642395</stp>
        <tr r="V31" s="2"/>
      </tp>
      <tp>
        <v>4.97</v>
        <stp/>
        <stp>BDP|2696583638642059176|22</stp>
        <stp>JADWA AB Equity</stp>
        <stp>LAST_PRICE</stp>
        <tr r="C101" s="2"/>
        <tr r="B101" s="2"/>
      </tp>
      <tp>
        <v>-12.467000000000001</v>
        <stp/>
        <stp>BDP|1546170361264122798|22</stp>
        <stp>KINGDOM AB Equity</stp>
        <stp>CHG_PCT_1M_RT</stp>
        <tr r="E125" s="2"/>
      </tp>
      <tp>
        <v>0.29789999127388</v>
        <stp/>
        <stp>BDP|18215297091008638059|22</stp>
        <stp>MAHARAH AB Equity</stp>
        <stp>RT_PX_CHG_PCT_1D</stp>
        <tr r="D34" s="2"/>
      </tp>
      <tp>
        <v>60.5</v>
        <stp/>
        <stp>BDP|14203071240784380387|22</stp>
        <stp>EEC AB Equity</stp>
        <stp>ASK</stp>
        <tr r="R274" s="2"/>
      </tp>
      <tp>
        <v>8.85</v>
        <stp/>
        <stp>BDP|18147243953751126637|22</stp>
        <stp>ATTMCO AB Equity</stp>
        <stp>LAST_PRICE</stp>
        <tr r="B131" s="2"/>
        <tr r="C131" s="2"/>
      </tp>
      <tp>
        <v>9.06</v>
        <stp/>
        <stp>BDP|471155841089469644|22</stp>
        <stp>MAATHER AB Equity</stp>
        <stp>OPEN</stp>
        <tr r="K106" s="2"/>
      </tp>
      <tp>
        <v>53.8</v>
        <stp/>
        <stp>BDP|16457142823774900014|22</stp>
        <stp>NAQI AB Equity</stp>
        <stp>LOW</stp>
        <tr r="L136" s="2"/>
      </tp>
      <tp>
        <v>22.1</v>
        <stp/>
        <stp>BDP|8268575162164533779|22</stp>
        <stp>FPCO AB Equity</stp>
        <stp>OPEN</stp>
        <tr r="K147" s="2"/>
      </tp>
      <tp>
        <v>87596</v>
        <stp/>
        <stp>BDP|15208643391817469403|22</stp>
        <stp>HB AB Equity</stp>
        <stp>VOLUME</stp>
        <tr r="J139" s="2"/>
      </tp>
      <tp>
        <v>0</v>
        <stp/>
        <stp>BDP|14817515400412269679|22</stp>
        <stp>ALSAIF AB Equity</stp>
        <stp>RT_PX_CHG_PCT_1D</stp>
        <tr r="D50" s="2"/>
      </tp>
      <tp>
        <v>4.88</v>
        <stp/>
        <stp>BDP|14088366063114295193|22</stp>
        <stp>ALINMARE AB Equity</stp>
        <stp>YEST_LAST_TRADE</stp>
        <tr r="G96" s="2"/>
      </tp>
      <tp>
        <v>24.83</v>
        <stp/>
        <stp>BDP|13935977387101321669|22</stp>
        <stp>UCIC AB Equity</stp>
        <stp>LOW</stp>
        <tr r="L194" s="2"/>
      </tp>
      <tp>
        <v>54.804099999999998</v>
        <stp/>
        <stp>BDP|6256642548608190562|22</stp>
        <stp>NAQI AB Equity</stp>
        <stp>VWAP</stp>
        <tr r="N136" s="2"/>
      </tp>
      <tp>
        <v>11.6457</v>
        <stp/>
        <stp>BDP|4118370252723977295|22</stp>
        <stp>BJAZ AB Equity</stp>
        <stp>VWAP</stp>
        <tr r="N6" s="2"/>
      </tp>
      <tp>
        <v>6.43</v>
        <stp/>
        <stp>BDP|10240770280463556767|22</stp>
        <stp>ALAHLI AB Equity</stp>
        <stp>LAST_PRICE</stp>
        <tr r="B107" s="2"/>
        <tr r="C107" s="2"/>
      </tp>
      <tp>
        <v>-5.1464999999999996</v>
        <stp/>
        <stp>BDP|17204105260267462540|22</stp>
        <stp>CHERRY AB Equity</stp>
        <stp>CHG_PCT_1M_RT</stp>
        <tr r="E53" s="2"/>
      </tp>
      <tp>
        <v>129.5</v>
        <stp/>
        <stp>BDP|733491608275816122|22</stp>
        <stp>NCLE AB Equity</stp>
        <stp>LAST_PRICE</stp>
        <tr r="C65" s="2"/>
        <tr r="B65" s="2"/>
      </tp>
      <tp>
        <v>1.3902000188827515</v>
        <stp/>
        <stp>BDP|5969156480419656729|22</stp>
        <stp>ALJAZIRA AB Equity</stp>
        <stp>RT_PX_CHG_PCT_1D</stp>
        <tr r="D102" s="2"/>
      </tp>
      <tp t="s">
        <v>#N/A Requesting Data...3269731548</v>
        <stp/>
        <stp>BDP|11285180113732566756</stp>
        <tr r="I46" s="2"/>
      </tp>
      <tp t="s">
        <v>#N/A Requesting Data...4205911565</v>
        <stp/>
        <stp>BDP|13469310571731562289</stp>
        <tr r="O11" s="2"/>
      </tp>
      <tp t="s">
        <v>#N/A Requesting Data...2573801023</v>
        <stp/>
        <stp>BDP|14807960616748987081</stp>
        <tr r="X220" s="2"/>
      </tp>
      <tp t="s">
        <v>#N/A Requesting Data...3337730970</v>
        <stp/>
        <stp>BDP|11638707969262769612</stp>
        <tr r="O142" s="2"/>
      </tp>
      <tp t="s">
        <v>#N/A Requesting Data...3271899419</v>
        <stp/>
        <stp>BDP|14015386631856598652</stp>
        <tr r="X132" s="2"/>
      </tp>
      <tp t="s">
        <v>#N/A Requesting Data...3144155073</v>
        <stp/>
        <stp>BDP|16956454689148508683</stp>
        <tr r="I194" s="2"/>
      </tp>
      <tp t="s">
        <v>#N/A Requesting Data...1535364401</v>
        <stp/>
        <stp>BDP|16272741849366314743</stp>
        <tr r="U216" s="2"/>
      </tp>
      <tp t="s">
        <v>#N/A Requesting Data...3773623286</v>
        <stp/>
        <stp>BDP|14305590152175378532</stp>
        <tr r="S72" s="2"/>
      </tp>
      <tp t="s">
        <v>#N/A Requesting Data...2834168971</v>
        <stp/>
        <stp>BDP|14606694406601005728</stp>
        <tr r="T8" s="2"/>
      </tp>
      <tp t="s">
        <v>#N/A Requesting Data...3884703787</v>
        <stp/>
        <stp>BDP|11413472722837282486</stp>
        <tr r="T4" s="2"/>
      </tp>
      <tp t="s">
        <v>#N/A Requesting Data...1850219121</v>
        <stp/>
        <stp>BDP|11677513148020672426</stp>
        <tr r="T90" s="2"/>
      </tp>
      <tp t="s">
        <v>#N/A Requesting Data...1966474817</v>
        <stp/>
        <stp>BDP|10167497389391286994</stp>
        <tr r="H39" s="2"/>
      </tp>
      <tp t="s">
        <v>#N/A Requesting Data...4216097062</v>
        <stp/>
        <stp>BDP|15169745269323546338</stp>
        <tr r="U22" s="2"/>
      </tp>
      <tp t="s">
        <v>#N/A Requesting Data...3889991432</v>
        <stp/>
        <stp>BDP|11629761685449729389</stp>
        <tr r="H165" s="2"/>
      </tp>
      <tp t="s">
        <v>#N/A Requesting Data...3562336374</v>
        <stp/>
        <stp>BDP|16604597054957288537</stp>
        <tr r="I23" s="2"/>
      </tp>
      <tp>
        <v>2.42</v>
        <stp/>
        <stp>BDP|7464561796864005473|22</stp>
        <stp>AHFCO AB Equity</stp>
        <stp>LOW</stp>
        <tr r="L60" s="2"/>
      </tp>
      <tp t="s">
        <v>#N/A Requesting Data...3374040242</v>
        <stp/>
        <stp>BDP|13202365547663938378</stp>
        <tr r="X187" s="2"/>
      </tp>
      <tp t="s">
        <v>#N/A Requesting Data...1974839062</v>
        <stp/>
        <stp>BDP|14842358567481013474</stp>
        <tr r="X171" s="2"/>
      </tp>
      <tp t="s">
        <v>#N/A Requesting Data...2185048916</v>
        <stp/>
        <stp>BDP|12303991996801931789</stp>
        <tr r="P77" s="2"/>
      </tp>
      <tp t="s">
        <v>#N/A Requesting Data...1692474462</v>
        <stp/>
        <stp>BDP|14773591847981553019</stp>
        <tr r="O68" s="2"/>
      </tp>
      <tp t="s">
        <v>#N/A Requesting Data...4007913340</v>
        <stp/>
        <stp>BDP|16771895235350741915</stp>
        <tr r="H221" s="2"/>
      </tp>
      <tp t="s">
        <v>#N/A Requesting Data...3938925387</v>
        <stp/>
        <stp>BDP|15955718172976476734</stp>
        <tr r="X84" s="2"/>
      </tp>
      <tp t="s">
        <v>#N/A Requesting Data...3512457387</v>
        <stp/>
        <stp>BDP|16111132498868267258</stp>
        <tr r="H57" s="2"/>
      </tp>
      <tp>
        <v>82.95</v>
        <stp/>
        <stp>BDP|3704347562356776191|22</stp>
        <stp>MCDCO AB Equity</stp>
        <stp>BID</stp>
        <tr r="Q257" s="2"/>
      </tp>
      <tp t="s">
        <v>#N/A Requesting Data...4152701389</v>
        <stp/>
        <stp>BDP|10452507919955951587</stp>
        <tr r="H102" s="2"/>
      </tp>
      <tp t="s">
        <v>#N/A Requesting Data...3984334472</v>
        <stp/>
        <stp>BDP|17950508141431002340</stp>
        <tr r="X211" s="2"/>
      </tp>
      <tp t="s">
        <v>#N/A Requesting Data...2728260399</v>
        <stp/>
        <stp>BDP|17176563200537398185</stp>
        <tr r="T98" s="2"/>
      </tp>
      <tp t="s">
        <v>#N/A Requesting Data...2614241320</v>
        <stp/>
        <stp>BDP|18265483073327463813</stp>
        <tr r="S260" s="2"/>
      </tp>
      <tp t="s">
        <v>#N/A Requesting Data...2831493769</v>
        <stp/>
        <stp>BDP|12105693515059461855</stp>
        <tr r="S225" s="2"/>
      </tp>
      <tp t="s">
        <v>#N/A Requesting Data...2928496215</v>
        <stp/>
        <stp>BDP|12172144423565958037</stp>
        <tr r="P19" s="2"/>
      </tp>
      <tp t="s">
        <v>#N/A Requesting Data...3725167786</v>
        <stp/>
        <stp>BDP|11090631858363355575</stp>
        <tr r="U111" s="2"/>
      </tp>
      <tp t="s">
        <v>#N/A Requesting Data...4195372483</v>
        <stp/>
        <stp>BDP|16640346734865051790</stp>
        <tr r="I60" s="2"/>
      </tp>
      <tp t="s">
        <v>#N/A Requesting Data...3895799685</v>
        <stp/>
        <stp>BDP|17217496905115552240</stp>
        <tr r="X232" s="2"/>
      </tp>
      <tp t="s">
        <v>#N/A Requesting Data...1525552990</v>
        <stp/>
        <stp>BDP|17470535968455018505</stp>
        <tr r="X247" s="2"/>
      </tp>
      <tp t="s">
        <v>#N/A Requesting Data...1801495572</v>
        <stp/>
        <stp>BDP|13694464611047899561</stp>
        <tr r="H151" s="2"/>
      </tp>
      <tp t="s">
        <v>#N/A Requesting Data...3827323370</v>
        <stp/>
        <stp>BDP|11423528954351493487</stp>
        <tr r="P175" s="2"/>
      </tp>
      <tp t="s">
        <v>#N/A Requesting Data...1470949765</v>
        <stp/>
        <stp>BDP|12454724457646063203</stp>
        <tr r="H6" s="2"/>
      </tp>
      <tp t="s">
        <v>#N/A Requesting Data...4132698378</v>
        <stp/>
        <stp>BDP|17329760699498412596</stp>
        <tr r="P16" s="2"/>
      </tp>
      <tp t="s">
        <v>#N/A Requesting Data...3568681865</v>
        <stp/>
        <stp>BDP|12124303151725961584</stp>
        <tr r="P97" s="2"/>
      </tp>
      <tp t="s">
        <v>#N/A Requesting Data...3547133123</v>
        <stp/>
        <stp>BDP|11506663553463084500</stp>
        <tr r="O197" s="2"/>
      </tp>
      <tp t="s">
        <v>#N/A Requesting Data...1664064904</v>
        <stp/>
        <stp>BDP|11031004761874931781</stp>
        <tr r="U11" s="2"/>
      </tp>
      <tp t="s">
        <v>#N/A Requesting Data...1692320182</v>
        <stp/>
        <stp>BDP|17485141743363681551</stp>
        <tr r="P239" s="2"/>
      </tp>
      <tp t="s">
        <v>#N/A Requesting Data...4162357316</v>
        <stp/>
        <stp>BDP|11917354668022571211</stp>
        <tr r="X32" s="2"/>
      </tp>
      <tp t="s">
        <v>#N/A Requesting Data...3109631003</v>
        <stp/>
        <stp>BDP|17488755274374041758</stp>
        <tr r="I214" s="2"/>
      </tp>
      <tp t="s">
        <v>#N/A Requesting Data...2135210845</v>
        <stp/>
        <stp>BDP|16033066538552976376</stp>
        <tr r="O270" s="2"/>
      </tp>
      <tp t="s">
        <v>#N/A Requesting Data...3844355540</v>
        <stp/>
        <stp>BDP|11041701529115908502</stp>
        <tr r="O262" s="2"/>
      </tp>
      <tp t="s">
        <v>#N/A Requesting Data...1594236375</v>
        <stp/>
        <stp>BDP|10831654247837390190</stp>
        <tr r="O124" s="2"/>
      </tp>
      <tp t="s">
        <v>#N/A Requesting Data...3936588452</v>
        <stp/>
        <stp>BDP|10324806836849082650</stp>
        <tr r="H117" s="2"/>
      </tp>
      <tp t="s">
        <v>#N/A Requesting Data...3700568092</v>
        <stp/>
        <stp>BDP|17058350683708107048</stp>
        <tr r="T263" s="2"/>
      </tp>
      <tp t="s">
        <v>#N/A Requesting Data...2693735429</v>
        <stp/>
        <stp>BDP|14075165415032686263</stp>
        <tr r="X69" s="2"/>
      </tp>
      <tp t="s">
        <v>#N/A Requesting Data...3200589158</v>
        <stp/>
        <stp>BDP|12008019745744022672</stp>
        <tr r="H119" s="2"/>
      </tp>
      <tp t="s">
        <v>#N/A Requesting Data...3788357836</v>
        <stp/>
        <stp>BDP|17273500910054172300</stp>
        <tr r="X214" s="2"/>
      </tp>
      <tp t="s">
        <v>#N/A Requesting Data...2517930242</v>
        <stp/>
        <stp>BDP|15100000942114465141</stp>
        <tr r="H215" s="2"/>
      </tp>
      <tp t="s">
        <v>#N/A Requesting Data...3271134917</v>
        <stp/>
        <stp>BDP|13233831269039337084</stp>
        <tr r="S59" s="2"/>
      </tp>
      <tp t="s">
        <v>#N/A Requesting Data...3168371829</v>
        <stp/>
        <stp>BDP|16237082967993691784</stp>
        <tr r="I70" s="2"/>
      </tp>
      <tp t="s">
        <v>#N/A Requesting Data...3554378015</v>
        <stp/>
        <stp>BDP|11817272365107991613</stp>
        <tr r="X200" s="2"/>
      </tp>
      <tp t="s">
        <v>#N/A Requesting Data...3130912783</v>
        <stp/>
        <stp>BDP|11525516943446290278</stp>
        <tr r="I102" s="2"/>
      </tp>
      <tp t="s">
        <v>#N/A Requesting Data...2403534351</v>
        <stp/>
        <stp>BDP|10979013508020045425</stp>
        <tr r="X100" s="2"/>
      </tp>
      <tp t="s">
        <v>#N/A Requesting Data...1844540879</v>
        <stp/>
        <stp>BDP|17212175827062289255</stp>
        <tr r="S194" s="2"/>
      </tp>
      <tp t="s">
        <v>#N/A Requesting Data...1672317822</v>
        <stp/>
        <stp>BDP|18007208212279057676</stp>
        <tr r="H118" s="2"/>
      </tp>
      <tp t="s">
        <v>#N/A Requesting Data...3417230555</v>
        <stp/>
        <stp>BDP|14659253235343421278</stp>
        <tr r="S89" s="2"/>
      </tp>
      <tp t="s">
        <v>#N/A Requesting Data...1658510316</v>
        <stp/>
        <stp>BDP|13565360216847418240</stp>
        <tr r="S148" s="2"/>
      </tp>
      <tp t="s">
        <v>#N/A Requesting Data...1472182051</v>
        <stp/>
        <stp>BDP|11085132937532284534</stp>
        <tr r="U154" s="2"/>
      </tp>
      <tp t="s">
        <v>#N/A Requesting Data...2313384137</v>
        <stp/>
        <stp>BDP|15146524479063678095</stp>
        <tr r="I63" s="2"/>
      </tp>
      <tp t="s">
        <v>#N/A Requesting Data...3876916428</v>
        <stp/>
        <stp>BDP|15179503962407570536</stp>
        <tr r="O140" s="2"/>
      </tp>
      <tp t="s">
        <v>#N/A Requesting Data...3167470965</v>
        <stp/>
        <stp>BDP|12568644714070892194</stp>
        <tr r="X277" s="2"/>
      </tp>
      <tp t="s">
        <v>#N/A Requesting Data...1840974592</v>
        <stp/>
        <stp>BDP|13034336696758492558</stp>
        <tr r="H66" s="2"/>
      </tp>
      <tp t="s">
        <v>#N/A Requesting Data...2353181313</v>
        <stp/>
        <stp>BDP|16449464432086228360</stp>
        <tr r="O96" s="2"/>
      </tp>
      <tp t="s">
        <v>#N/A Requesting Data...2314686133</v>
        <stp/>
        <stp>BDP|17047717457449858898</stp>
        <tr r="U173" s="2"/>
      </tp>
      <tp t="s">
        <v>#N/A Requesting Data...2412771753</v>
        <stp/>
        <stp>BDP|10653520532897747560</stp>
        <tr r="S167" s="2"/>
      </tp>
      <tp t="s">
        <v>#N/A Requesting Data...1784039718</v>
        <stp/>
        <stp>BDP|11021096730705788397</stp>
        <tr r="T133" s="2"/>
      </tp>
      <tp t="s">
        <v>#N/A Requesting Data...3148762203</v>
        <stp/>
        <stp>BDP|16825915326290812907</stp>
        <tr r="T275" s="2"/>
      </tp>
      <tp t="s">
        <v>#N/A Requesting Data...2005428977</v>
        <stp/>
        <stp>BDP|14860143003665973412</stp>
        <tr r="T68" s="2"/>
      </tp>
      <tp t="s">
        <v>#N/A Requesting Data...3690012540</v>
        <stp/>
        <stp>BDP|10207688929037480705</stp>
        <tr r="T127" s="2"/>
      </tp>
      <tp t="s">
        <v>#N/A Requesting Data...1579985565</v>
        <stp/>
        <stp>BDP|14788111562343485469</stp>
        <tr r="O83" s="2"/>
      </tp>
      <tp t="s">
        <v>#N/A Requesting Data...3853270629</v>
        <stp/>
        <stp>BDP|11982462905055839443</stp>
        <tr r="H53" s="2"/>
      </tp>
      <tp t="s">
        <v>#N/A Requesting Data...2907653879</v>
        <stp/>
        <stp>BDP|11350456823734484775</stp>
        <tr r="S229" s="2"/>
      </tp>
      <tp t="s">
        <v>#N/A Requesting Data...1866161581</v>
        <stp/>
        <stp>BDP|17346246843434185137</stp>
        <tr r="U199" s="2"/>
      </tp>
      <tp t="s">
        <v>#N/A Requesting Data...3109358389</v>
        <stp/>
        <stp>BDP|15197612271352431236</stp>
        <tr r="X253" s="2"/>
      </tp>
      <tp t="s">
        <v>#N/A Requesting Data...2424496134</v>
        <stp/>
        <stp>BDP|17637852407299632242</stp>
        <tr r="O193" s="2"/>
      </tp>
      <tp t="s">
        <v>#N/A N/A</v>
        <stp/>
        <stp>BDH|12345088399838347719</stp>
        <tr r="V171" s="2"/>
      </tp>
      <tp>
        <v>6.98</v>
        <stp/>
        <stp>BDP|1917837421926387751|22</stp>
        <stp>ALISADRF AB Equity</stp>
        <stp>LAST_PRICE</stp>
        <tr r="B109" s="2"/>
        <tr r="C109" s="2"/>
      </tp>
      <tp>
        <v>676273</v>
        <stp/>
        <stp>BDP|9925575323521653290|22</stp>
        <stp>SPPC AB Equity</stp>
        <stp>VOLUME</stp>
        <tr r="J40" s="2"/>
      </tp>
      <tp t="s">
        <v>#N/A N/A</v>
        <stp/>
        <stp>BDH|16609971887560664339</stp>
        <tr r="V70" s="2"/>
      </tp>
      <tp t="s">
        <v>#N/A N/A</v>
        <stp/>
        <stp>BDH|18074371636395632953</stp>
        <tr r="V176" s="2"/>
      </tp>
      <tp>
        <v>-3.7</v>
        <stp/>
        <stp>BDP|16389402754163225161|22</stp>
        <stp>SOCCO AB Equity</stp>
        <stp>CHG_PCT_1M_RT</stp>
        <tr r="E200" s="2"/>
      </tp>
      <tp>
        <v>102051</v>
        <stp/>
        <stp>BDP|7068176907488352734|22</stp>
        <stp>CARE AB Equity</stp>
        <stp>VOLUME</stp>
        <tr r="J158" s="2"/>
      </tp>
      <tp t="s">
        <v>#N/A N/A</v>
        <stp/>
        <stp>BDH|11189640658852902430</stp>
        <tr r="V189" s="2"/>
      </tp>
      <tp t="s">
        <v>#N/A N/A</v>
        <stp/>
        <stp>BDH|11406472358332523696</stp>
        <tr r="V15" s="2"/>
      </tp>
      <tp t="s">
        <v>#N/A N/A</v>
        <stp/>
        <stp>BDH|11541618248032369570</stp>
        <tr r="V232" s="2"/>
      </tp>
      <tp t="s">
        <v>#N/A N/A</v>
        <stp/>
        <stp>BDH|18267480784697195774</stp>
        <tr r="V147" s="2"/>
      </tp>
      <tp t="s">
        <v>#N/A N/A</v>
        <stp/>
        <stp>BDH|13299525908794993691</stp>
        <tr r="V197" s="2"/>
      </tp>
      <tp t="s">
        <v>#N/A N/A</v>
        <stp/>
        <stp>BDH|14773734326587863224</stp>
        <tr r="V110" s="2"/>
      </tp>
      <tp>
        <v>1.6460999999999999</v>
        <stp/>
        <stp>BDP|17438309869832876532|22</stp>
        <stp>AHFCO AB Equity</stp>
        <stp>CHG_PCT_1M_RT</stp>
        <tr r="E60" s="2"/>
      </tp>
      <tp>
        <v>-15.7836</v>
        <stp/>
        <stp>BDP|2211253651125370106|22</stp>
        <stp>MIAHONA AB Equity</stp>
        <stp>CHG_PCT_YTD_RT</stp>
        <tr r="F292" s="2"/>
      </tp>
      <tp>
        <v>21.0321</v>
        <stp/>
        <stp>BDP|17611602742090726822|22</stp>
        <stp>ANAAM AB Equity</stp>
        <stp>CHG_PCT_1M_RT</stp>
        <tr r="E84" s="2"/>
      </tp>
      <tp>
        <v>131.6</v>
        <stp/>
        <stp>BDP|3524451437625132980|22</stp>
        <stp>ASTRA AB Equity</stp>
        <stp>BID</stp>
        <tr r="Q27" s="2"/>
      </tp>
      <tp t="s">
        <v>#N/A N/A</v>
        <stp/>
        <stp>BDH|15971299770780939462</stp>
        <tr r="V208" s="2"/>
      </tp>
      <tp>
        <v>38.754300000000001</v>
        <stp/>
        <stp>BDP|5342589933172673609|22</stp>
        <stp>ALLIANZ AB Equity</stp>
        <stp>CHG_PCT_1M_RT</stp>
        <tr r="E175" s="2"/>
      </tp>
      <tp>
        <v>69.900000000000006</v>
        <stp/>
        <stp>BDP|12125313913582195422|22</stp>
        <stp>NGIC AB Equity</stp>
        <stp>LOW</stp>
        <tr r="L293" s="2"/>
      </tp>
      <tp>
        <v>211</v>
        <stp/>
        <stp>BDP|17264991891477720411|22</stp>
        <stp>SULAIMAN AB Equity</stp>
        <stp>YEST_LAST_TRADE</stp>
        <tr r="G153" s="2"/>
      </tp>
      <tp>
        <v>28.74</v>
        <stp/>
        <stp>BDP|16422768887992274717|22</stp>
        <stp>MODERNMI AB Equity</stp>
        <stp>YEST_LAST_TRADE</stp>
        <tr r="G137" s="2"/>
      </tp>
      <tp>
        <v>17.690000000000001</v>
        <stp/>
        <stp>BDP|11160067975441479291|22</stp>
        <stp>ADCO AB Equity</stp>
        <stp>LOW</stp>
        <tr r="L260" s="2"/>
      </tp>
      <tp>
        <v>33.979999999999997</v>
        <stp/>
        <stp>BDP|10767870190020136057|22</stp>
        <stp>ZIIC AB Equity</stp>
        <stp>ASK</stp>
        <tr r="R221" s="2"/>
      </tp>
      <tp>
        <v>70.75</v>
        <stp/>
        <stp>BDP|15559347815922243378|22</stp>
        <stp>AMAK AB Equity</stp>
        <stp>LOW</stp>
        <tr r="L196" s="2"/>
      </tp>
      <tp>
        <v>129.6934</v>
        <stp/>
        <stp>BDP|5934731614946094237|22</stp>
        <stp>NCLE AB Equity</stp>
        <stp>VWAP</stp>
        <tr r="N65" s="2"/>
      </tp>
      <tp>
        <v>32.799999999999997</v>
        <stp/>
        <stp>BDP|17367476789158588101|22</stp>
        <stp>LUMI AB Equity</stp>
        <stp>ASK</stp>
        <tr r="R280" s="2"/>
      </tp>
      <tp>
        <v>129.5</v>
        <stp/>
        <stp>BDP|10053296036720655875|22</stp>
        <stp>NCLE AB Equity</stp>
        <stp>ASK</stp>
        <tr r="R65" s="2"/>
      </tp>
      <tp>
        <v>8.8699999999999992</v>
        <stp/>
        <stp>BDP|13521677417464608073|22</stp>
        <stp>AICC AB Equity</stp>
        <stp>ASK</stp>
        <tr r="R168" s="2"/>
      </tp>
      <tp>
        <v>3.9045999999999998</v>
        <stp/>
        <stp>BDP|7021920336611068758|22</stp>
        <stp>GGCI AB Equity</stp>
        <stp>VWAP</stp>
        <tr r="N187" s="2"/>
      </tp>
      <tp>
        <v>13.33</v>
        <stp/>
        <stp>BDP|16443312312853012444|22</stp>
        <stp>SIIG AB Equity</stp>
        <stp>LOW</stp>
        <tr r="L227" s="2"/>
      </tp>
      <tp>
        <v>0.60489999999999999</v>
        <stp/>
        <stp>BDP|13530914792153156564|22</stp>
        <stp>STC AB Equity</stp>
        <stp>CHG_PCT_YTD_RT</stp>
        <tr r="F275" s="2"/>
      </tp>
      <tp>
        <v>25.8</v>
        <stp/>
        <stp>BDP|18326198983945465039|22</stp>
        <stp>SAUDIRE AB Equity</stp>
        <stp>LAST_PRICE</stp>
        <tr r="C167" s="2"/>
        <tr r="B167" s="2"/>
      </tp>
      <tp>
        <v>17.670000000000002</v>
        <stp/>
        <stp>BDP|8719342877339267546|22</stp>
        <stp>GAS AB Equity</stp>
        <stp>LAST_PRICE</stp>
        <tr r="B30" s="2"/>
        <tr r="C30" s="2"/>
      </tp>
      <tp t="s">
        <v>#N/A Requesting Data...3683851625</v>
        <stp/>
        <stp>BDP|13736994787104322339</stp>
        <tr r="O233" s="2"/>
      </tp>
      <tp t="s">
        <v>#N/A Requesting Data...2468353286</v>
        <stp/>
        <stp>BDP|14619762176127851674</stp>
        <tr r="S218" s="2"/>
      </tp>
      <tp t="s">
        <v>#N/A Requesting Data...3694011248</v>
        <stp/>
        <stp>BDP|17865750401110777521</stp>
        <tr r="H85" s="2"/>
      </tp>
      <tp t="s">
        <v>#N/A Requesting Data...1509381320</v>
        <stp/>
        <stp>BDP|16454983406002208816</stp>
        <tr r="X183" s="2"/>
      </tp>
      <tp t="s">
        <v>#N/A Requesting Data...2774029156</v>
        <stp/>
        <stp>BDP|14547160948576717241</stp>
        <tr r="O173" s="2"/>
      </tp>
      <tp t="s">
        <v>#N/A Requesting Data...3273166962</v>
        <stp/>
        <stp>BDP|14153438805522940751</stp>
        <tr r="U202" s="2"/>
      </tp>
      <tp t="s">
        <v>#N/A Requesting Data...2968648006</v>
        <stp/>
        <stp>BDP|16936373554514208134</stp>
        <tr r="T264" s="2"/>
      </tp>
      <tp t="s">
        <v>#N/A Requesting Data...3025086290</v>
        <stp/>
        <stp>BDP|12279052526240960537</stp>
        <tr r="U255" s="2"/>
      </tp>
      <tp t="s">
        <v>#N/A Requesting Data...3050551159</v>
        <stp/>
        <stp>BDP|10190369437910245584</stp>
        <tr r="S203" s="2"/>
      </tp>
      <tp t="s">
        <v>#N/A Requesting Data...4197463167</v>
        <stp/>
        <stp>BDP|17681086612376139570</stp>
        <tr r="P26" s="2"/>
      </tp>
      <tp t="s">
        <v>#N/A Requesting Data...2390290389</v>
        <stp/>
        <stp>BDP|11971951558049681182</stp>
        <tr r="O130" s="2"/>
      </tp>
      <tp t="s">
        <v>#N/A Requesting Data...2371312585</v>
        <stp/>
        <stp>BDP|15954503833656258029</stp>
        <tr r="O146" s="2"/>
      </tp>
      <tp t="s">
        <v>#N/A Requesting Data...2140928327</v>
        <stp/>
        <stp>BDP|11483305120492102781</stp>
        <tr r="U277" s="2"/>
      </tp>
      <tp t="s">
        <v>#N/A Requesting Data...2221020752</v>
        <stp/>
        <stp>BDP|11507337530100336488</stp>
        <tr r="X67" s="2"/>
      </tp>
      <tp t="s">
        <v>#N/A Requesting Data...4243065030</v>
        <stp/>
        <stp>BDP|16520036366201519492</stp>
        <tr r="T80" s="2"/>
      </tp>
      <tp>
        <v>43.8</v>
        <stp/>
        <stp>BDP|6200835036806594938|22</stp>
        <stp>JADCO AB Equity</stp>
        <stp>BID</stp>
        <tr r="Q145" s="2"/>
      </tp>
      <tp t="s">
        <v>#N/A Requesting Data...2756469543</v>
        <stp/>
        <stp>BDP|11851262403385666348</stp>
        <tr r="I49" s="2"/>
      </tp>
      <tp t="s">
        <v>#N/A Requesting Data...1491764668</v>
        <stp/>
        <stp>BDP|18041725818553441818</stp>
        <tr r="T244" s="2"/>
      </tp>
      <tp t="s">
        <v>#N/A Requesting Data...4066198358</v>
        <stp/>
        <stp>BDP|17667892836491495824</stp>
        <tr r="U98" s="2"/>
      </tp>
      <tp t="s">
        <v>#N/A Requesting Data...1518833855</v>
        <stp/>
        <stp>BDP|14677427975282663086</stp>
        <tr r="P130" s="2"/>
      </tp>
      <tp t="s">
        <v>#N/A Requesting Data...3366817001</v>
        <stp/>
        <stp>BDP|18442949473621878254</stp>
        <tr r="T156" s="2"/>
      </tp>
      <tp t="s">
        <v>#N/A Requesting Data...3299898289</v>
        <stp/>
        <stp>BDP|15892582302462483788</stp>
        <tr r="S7" s="2"/>
      </tp>
      <tp t="s">
        <v>#N/A Requesting Data...1913598353</v>
        <stp/>
        <stp>BDP|10881049824795421223</stp>
        <tr r="H91" s="2"/>
      </tp>
      <tp>
        <v>-13.540900000000001</v>
        <stp/>
        <stp>BDP|2712484533340570627|22</stp>
        <stp>DERAYAH AB Equity</stp>
        <stp>CHG_PCT_YTD_RT</stp>
        <tr r="F116" s="2"/>
      </tp>
      <tp>
        <v>1241115</v>
        <stp/>
        <stp>BDP|4740583471193004652|22</stp>
        <stp>AOTHAIM AB Equity</stp>
        <stp>VOLUME</stp>
        <tr r="J82" s="2"/>
      </tp>
      <tp>
        <v>356388</v>
        <stp/>
        <stp>BDP|1551763385896585462|22</stp>
        <stp>ALDREES AB Equity</stp>
        <stp>VOLUME</stp>
        <tr r="J46" s="2"/>
      </tp>
      <tp t="s">
        <v>#N/A Requesting Data...3521147814</v>
        <stp/>
        <stp>BDP|11076309760266410754</stp>
        <tr r="H125" s="2"/>
      </tp>
      <tp t="s">
        <v>#N/A Requesting Data...2821644601</v>
        <stp/>
        <stp>BDP|12129778832681407214</stp>
        <tr r="S205" s="2"/>
      </tp>
      <tp t="s">
        <v>#N/A Requesting Data...2776454469</v>
        <stp/>
        <stp>BDP|12729639581669055046</stp>
        <tr r="P284" s="2"/>
      </tp>
      <tp t="s">
        <v>#N/A Requesting Data...4042660690</v>
        <stp/>
        <stp>BDP|16204550723537217378</stp>
        <tr r="S228" s="2"/>
      </tp>
      <tp t="s">
        <v>#N/A Requesting Data...3093916185</v>
        <stp/>
        <stp>BDP|16937314521536985407</stp>
        <tr r="P179" s="2"/>
      </tp>
      <tp t="s">
        <v>#N/A Requesting Data...3018971182</v>
        <stp/>
        <stp>BDP|14265748364203282308</stp>
        <tr r="H131" s="2"/>
      </tp>
      <tp t="s">
        <v>#N/A Requesting Data...2504183007</v>
        <stp/>
        <stp>BDP|14765569633857462063</stp>
        <tr r="U53" s="2"/>
      </tp>
      <tp t="s">
        <v>#N/A Requesting Data...3866071296</v>
        <stp/>
        <stp>BDP|12611605157572101603</stp>
        <tr r="S264" s="2"/>
      </tp>
      <tp t="s">
        <v>#N/A Requesting Data...2563868073</v>
        <stp/>
        <stp>BDP|10266914888606900222</stp>
        <tr r="S157" s="2"/>
      </tp>
      <tp t="s">
        <v>#N/A Requesting Data...4208083140</v>
        <stp/>
        <stp>BDP|13886673221777883561</stp>
        <tr r="S184" s="2"/>
      </tp>
      <tp t="s">
        <v>#N/A Requesting Data...3972819992</v>
        <stp/>
        <stp>BDP|15452803506570633844</stp>
        <tr r="S152" s="2"/>
      </tp>
      <tp t="s">
        <v>#N/A Requesting Data...1409230396</v>
        <stp/>
        <stp>BDP|18114110512904790968</stp>
        <tr r="P268" s="2"/>
      </tp>
      <tp t="s">
        <v>#N/A Requesting Data...1609761307</v>
        <stp/>
        <stp>BDP|17516587851825640795</stp>
        <tr r="U25" s="2"/>
      </tp>
      <tp t="s">
        <v>#N/A Requesting Data...3936980637</v>
        <stp/>
        <stp>BDP|10824729634719867855</stp>
        <tr r="S124" s="2"/>
      </tp>
      <tp t="s">
        <v>#N/A Requesting Data...1649122531</v>
        <stp/>
        <stp>BDP|11583734041833398470</stp>
        <tr r="I139" s="2"/>
      </tp>
      <tp t="s">
        <v>#N/A Requesting Data...2158344120</v>
        <stp/>
        <stp>BDP|12908167258002027146</stp>
        <tr r="P293" s="2"/>
      </tp>
      <tp t="s">
        <v>#N/A Requesting Data...1474796001</v>
        <stp/>
        <stp>BDP|12753220176341235324</stp>
        <tr r="P264" s="2"/>
      </tp>
      <tp t="s">
        <v>#N/A Requesting Data...1645356463</v>
        <stp/>
        <stp>BDP|16024120023677044724</stp>
        <tr r="U272" s="2"/>
      </tp>
      <tp t="s">
        <v>#N/A Requesting Data...3762839527</v>
        <stp/>
        <stp>BDP|15158950758644897860</stp>
        <tr r="T188" s="2"/>
      </tp>
      <tp t="s">
        <v>#N/A Requesting Data...2103565416</v>
        <stp/>
        <stp>BDP|17553577844025623629</stp>
        <tr r="U242" s="2"/>
      </tp>
      <tp t="s">
        <v>#N/A Requesting Data...2756926712</v>
        <stp/>
        <stp>BDP|15625006804296836687</stp>
        <tr r="I272" s="2"/>
      </tp>
      <tp t="s">
        <v>#N/A Requesting Data...4167029820</v>
        <stp/>
        <stp>BDP|17284478415366548171</stp>
        <tr r="I229" s="2"/>
      </tp>
      <tp t="s">
        <v>#N/A Requesting Data...1420301862</v>
        <stp/>
        <stp>BDP|16977216139444750632</stp>
        <tr r="O109" s="2"/>
      </tp>
      <tp t="s">
        <v>#N/A Requesting Data...3507934593</v>
        <stp/>
        <stp>BDP|16480818866174758913</stp>
        <tr r="U166" s="2"/>
      </tp>
      <tp t="s">
        <v>#N/A Requesting Data...1834485959</v>
        <stp/>
        <stp>BDP|10728195228061790758</stp>
        <tr r="X119" s="2"/>
      </tp>
      <tp t="s">
        <v>#N/A Requesting Data...2564725658</v>
        <stp/>
        <stp>BDP|14199330538126970741</stp>
        <tr r="O290" s="2"/>
      </tp>
      <tp t="s">
        <v>#N/A Requesting Data...3817422341</v>
        <stp/>
        <stp>BDP|11420173875086647478</stp>
        <tr r="T93" s="2"/>
      </tp>
      <tp t="s">
        <v>#N/A Requesting Data...1976965483</v>
        <stp/>
        <stp>BDP|11780824895691649412</stp>
        <tr r="I172" s="2"/>
      </tp>
      <tp t="s">
        <v>#N/A Requesting Data...2145515868</v>
        <stp/>
        <stp>BDP|17113061404594100656</stp>
        <tr r="O196" s="2"/>
      </tp>
      <tp t="s">
        <v>#N/A Requesting Data...2550885445</v>
        <stp/>
        <stp>BDP|11279345275934759425</stp>
        <tr r="I109" s="2"/>
      </tp>
      <tp t="s">
        <v>#N/A Requesting Data...1979817967</v>
        <stp/>
        <stp>BDP|16982979443548997624</stp>
        <tr r="P23" s="2"/>
      </tp>
      <tp t="s">
        <v>#N/A Requesting Data...3348670789</v>
        <stp/>
        <stp>BDP|18188909010212576729</stp>
        <tr r="U87" s="2"/>
      </tp>
      <tp t="s">
        <v>#N/A Requesting Data...2331933825</v>
        <stp/>
        <stp>BDP|17868482365766777648</stp>
        <tr r="H147" s="2"/>
      </tp>
      <tp t="s">
        <v>#N/A Requesting Data...2434166235</v>
        <stp/>
        <stp>BDP|14571051084398142130</stp>
        <tr r="T206" s="2"/>
      </tp>
      <tp t="s">
        <v>#N/A Requesting Data...3136446004</v>
        <stp/>
        <stp>BDP|10007401513507664733</stp>
        <tr r="H92" s="2"/>
      </tp>
      <tp t="s">
        <v>#N/A Requesting Data...3274900767</v>
        <stp/>
        <stp>BDP|14315395096453323893</stp>
        <tr r="S214" s="2"/>
      </tp>
      <tp t="s">
        <v>#N/A Requesting Data...2672407345</v>
        <stp/>
        <stp>BDP|13852624020170948254</stp>
        <tr r="X108" s="2"/>
      </tp>
      <tp t="s">
        <v>#N/A Requesting Data...2427193752</v>
        <stp/>
        <stp>BDP|14459925743638205416</stp>
        <tr r="S108" s="2"/>
      </tp>
      <tp t="s">
        <v>#N/A Requesting Data...2544064368</v>
        <stp/>
        <stp>BDP|10457731600330943285</stp>
        <tr r="U238" s="2"/>
      </tp>
      <tp t="s">
        <v>#N/A N/A</v>
        <stp/>
        <stp>BDH|10744089228506733136</stp>
        <tr r="V127" s="2"/>
      </tp>
      <tp>
        <v>3.07</v>
        <stp/>
        <stp>BDP|3628151774348975226|22</stp>
        <stp>BANAN AB Equity</stp>
        <stp>ASK</stp>
        <tr r="R256" s="2"/>
      </tp>
      <tp>
        <v>-16.091999999999999</v>
        <stp/>
        <stp>BDP|5190178220772198785|22</stp>
        <stp>TAKWEEN AB Equity</stp>
        <stp>CHG_PCT_YTD_RT</stp>
        <tr r="F218" s="2"/>
      </tp>
      <tp t="s">
        <v>#N/A N/A</v>
        <stp/>
        <stp>BDH|14345158308665267591</stp>
        <tr r="V216" s="2"/>
      </tp>
      <tp t="s">
        <v>#N/A N/A</v>
        <stp/>
        <stp>BDH|15938924161997801861</stp>
        <tr r="V23" s="2"/>
      </tp>
      <tp>
        <v>7.68</v>
        <stp/>
        <stp>BDP|6828905088268850149|22</stp>
        <stp>BURGERIZ AB Equity</stp>
        <stp>LAST_PRICE</stp>
        <tr r="C63" s="2"/>
        <tr r="B63" s="2"/>
      </tp>
      <tp t="s">
        <v>#N/A N/A</v>
        <stp/>
        <stp>BDH|10512785932951366073</stp>
        <tr r="V279" s="2"/>
      </tp>
      <tp t="s">
        <v>#N/A N/A</v>
        <stp/>
        <stp>BDH|15306289951097920090</stp>
        <tr r="V94" s="2"/>
      </tp>
      <tp t="s">
        <v>#N/A N/A</v>
        <stp/>
        <stp>BDH|10679388872027661600</stp>
        <tr r="V10" s="2"/>
      </tp>
      <tp t="s">
        <v>#N/A N/A</v>
        <stp/>
        <stp>BDH|17725618704000136498</stp>
        <tr r="V4" s="2"/>
      </tp>
      <tp>
        <v>4.99</v>
        <stp/>
        <stp>BDP|2833376013985072450|22</stp>
        <stp>JADWA AB Equity</stp>
        <stp>ASK</stp>
        <tr r="R101" s="2"/>
      </tp>
      <tp t="s">
        <v>#N/A N/A</v>
        <stp/>
        <stp>BDH|16734936608729568355</stp>
        <tr r="V113" s="2"/>
      </tp>
      <tp t="s">
        <v>#N/A N/A</v>
        <stp/>
        <stp>BDH|15731495500105238104</stp>
        <tr r="V57" s="2"/>
      </tp>
      <tp t="s">
        <v>#N/A N/A</v>
        <stp/>
        <stp>BDH|11034496566331904799</stp>
        <tr r="V136" s="2"/>
      </tp>
      <tp t="s">
        <v>#N/A N/A</v>
        <stp/>
        <stp>BDH|16468334116273816263</stp>
        <tr r="V143" s="2"/>
      </tp>
      <tp>
        <v>51.3</v>
        <stp/>
        <stp>BDP|1727624147131888372|22</stp>
        <stp>ATAA AB Equity</stp>
        <stp>BID</stp>
        <tr r="Q75" s="2"/>
      </tp>
      <tp>
        <v>30.48</v>
        <stp/>
        <stp>BDP|7458668766134855715|22</stp>
        <stp>MESC AB Equity</stp>
        <stp>ASK</stp>
        <tr r="R21" s="2"/>
      </tp>
      <tp>
        <v>10.26</v>
        <stp/>
        <stp>BDP|16101596225218503108|22</stp>
        <stp>WALAA AB Equity</stp>
        <stp>OPEN</stp>
        <tr r="K169" s="2"/>
      </tp>
      <tp>
        <v>120173</v>
        <stp/>
        <stp>BDP|12739332739070401379|22</stp>
        <stp>AVALONPH AB Equity</stp>
        <stp>VOLUME</stp>
        <tr r="J247" s="2"/>
      </tp>
      <tp>
        <v>175</v>
        <stp/>
        <stp>BDP|2269951171288390862|22</stp>
        <stp>BUPA AB Equity</stp>
        <stp>ASK</stp>
        <tr r="R188" s="2"/>
      </tp>
      <tp>
        <v>-42.971899999999998</v>
        <stp/>
        <stp>BDP|12106619593644954679|22</stp>
        <stp>RESEARCH AB Equity</stp>
        <stp>CHG_PCT_YTD_RT</stp>
        <tr r="F242" s="2"/>
      </tp>
      <tp>
        <v>5.53</v>
        <stp/>
        <stp>BDP|15089942513199579031|22</stp>
        <stp>CMCER AB Equity</stp>
        <stp>OPEN</stp>
        <tr r="K161" s="2"/>
      </tp>
    </main>
    <main first="bofaddin.rtdserver">
      <tp>
        <v>0.3246999979019165</v>
        <stp/>
        <stp>BDP|11814759313939540404|22</stp>
        <stp>ALMUNAJE AB Equity</stp>
        <stp>RT_PX_CHG_PCT_1D</stp>
        <tr r="D87" s="2"/>
      </tp>
      <tp>
        <v>42.8</v>
        <stp/>
        <stp>BDP|2935832687560931092|22</stp>
        <stp>ABOMOATI AB Equity</stp>
        <stp>YEST_LAST_TRADE</stp>
        <tr r="G43" s="2"/>
      </tp>
      <tp>
        <v>2.4026000000000001</v>
        <stp/>
        <stp>BDP|15167625510705896017|22</stp>
        <stp>SIECO AB Equity</stp>
        <stp>VWAP</stp>
        <tr r="N29" s="2"/>
      </tp>
      <tp>
        <v>13.47</v>
        <stp/>
        <stp>BDP|15755020063663386845|22</stp>
        <stp>JAHEZ AB Equity</stp>
        <stp>OPEN</stp>
        <tr r="K62" s="2"/>
      </tp>
      <tp>
        <v>30.34</v>
        <stp/>
        <stp>BDP|12706925536130905385|22</stp>
        <stp>SACCO AB Equity</stp>
        <stp>ASK</stp>
        <tr r="R229" s="2"/>
      </tp>
      <tp>
        <v>7.88</v>
        <stp/>
        <stp>BDP|15352008157456694582|22</stp>
        <stp>TACCO AB Equity</stp>
        <stp>ASK</stp>
        <tr r="R212" s="2"/>
      </tp>
      <tp>
        <v>10.1028</v>
        <stp/>
        <stp>BDP|4765520662032573201|22</stp>
        <stp>MALATH AB Equity</stp>
        <stp>VWAP</stp>
        <tr r="N182" s="2"/>
      </tp>
      <tp>
        <v>1.6996999979019165</v>
        <stp/>
        <stp>BDP|3116931129261413623|22</stp>
        <stp>ARABSEA AB Equity</stp>
        <stp>RT_PX_CHG_PCT_1D</stp>
        <tr r="D272" s="2"/>
      </tp>
      <tp>
        <v>11.98</v>
        <stp/>
        <stp>BDP|8745869121056886482|22</stp>
        <stp>SHIELD AB Equity</stp>
        <stp>OPEN</stp>
        <tr r="K174" s="2"/>
      </tp>
      <tp>
        <v>0</v>
        <stp/>
        <stp>BDP|17320833251951912099|22</stp>
        <stp>CHEMANOL AB Equity</stp>
        <stp>CHG_PCT_1M_RT</stp>
        <tr r="E234" s="2"/>
      </tp>
      <tp>
        <v>7.8430999999999997</v>
        <stp/>
        <stp>BDP|15909407826776376061|22</stp>
        <stp>EASTPIPE AB Equity</stp>
        <stp>CHG_PCT_1M_RT</stp>
        <tr r="E217" s="2"/>
      </tp>
      <tp>
        <v>110</v>
        <stp/>
        <stp>BDP|1065428156495994181|22</stp>
        <stp>DALLAH AB Equity</stp>
        <stp>OPEN</stp>
        <tr r="K160" s="2"/>
      </tp>
      <tp>
        <v>1.3805000000000001</v>
        <stp/>
        <stp>BDP|13869668844756837355|22</stp>
        <stp>FAKEEHCA AB Equity</stp>
        <stp>CHG_PCT_1M_RT</stp>
        <tr r="E157" s="2"/>
      </tp>
      <tp>
        <v>24.6</v>
        <stp/>
        <stp>BDP|3743574292075353110|22</stp>
        <stp>ALINMA AB Equity</stp>
        <stp>OPEN</stp>
        <tr r="K4" s="2"/>
      </tp>
      <tp>
        <v>1.9972000122070313</v>
        <stp/>
        <stp>BDP|6701577641043618725|22</stp>
        <stp>SADAFCO AB Equity</stp>
        <stp>RT_PX_CHG_PCT_1D</stp>
        <tr r="D134" s="2"/>
      </tp>
      <tp>
        <v>7.37</v>
        <stp/>
        <stp>BDP|18129112846800344906|22</stp>
        <stp>NOFOTH AB Equity</stp>
        <stp>BID</stp>
        <tr r="Q148" s="2"/>
      </tp>
      <tp>
        <v>58.55</v>
        <stp/>
        <stp>BDP|12825854689429621974|22</stp>
        <stp>MAADEN AB Equity</stp>
        <stp>LOW</stp>
        <tr r="L210" s="2"/>
      </tp>
      <tp>
        <v>10.25</v>
        <stp/>
        <stp>BDP|10967511378129237199|22</stp>
        <stp>MALATH AB Equity</stp>
        <stp>BID</stp>
        <tr r="Q182" s="2"/>
      </tp>
      <tp>
        <v>10.7</v>
        <stp/>
        <stp>BDP|16057996180870334838|22</stp>
        <stp>TALEEM AB Equity</stp>
        <stp>BID</stp>
        <tr r="Q112" s="2"/>
      </tp>
      <tp>
        <v>7.29</v>
        <stp/>
        <stp>BDP|17261412946649023401|22</stp>
        <stp>NOFOTH AB Equity</stp>
        <stp>LOW</stp>
        <tr r="L148" s="2"/>
      </tp>
      <tp>
        <v>25.26</v>
        <stp/>
        <stp>BDP|11830755972619697715|22</stp>
        <stp>OBEKAN AB Equity</stp>
        <stp>BID</stp>
        <tr r="Q24" s="2"/>
      </tp>
      <tp>
        <v>28.02</v>
        <stp/>
        <stp>BDP|3406934150828081831|22</stp>
        <stp>SRE AB Equity</stp>
        <stp>OPEN</stp>
        <tr r="K251" s="2"/>
      </tp>
      <tp>
        <v>24.89</v>
        <stp/>
        <stp>BDP|11286795958290523292|22</stp>
        <stp>OBEKAN AB Equity</stp>
        <stp>LOW</stp>
        <tr r="L24" s="2"/>
      </tp>
      <tp>
        <v>-0.29730001091957092</v>
        <stp/>
        <stp>BDP|6373686567219654869|22</stp>
        <stp>SCACO AB Equity</stp>
        <stp>RT_PX_CHG_PCT_1D</stp>
        <tr r="D28" s="2"/>
      </tp>
      <tp>
        <v>32.119999999999997</v>
        <stp/>
        <stp>BDP|5391526783910108913|22</stp>
        <stp>GIG AB Equity</stp>
        <stp>OPEN</stp>
        <tr r="K185" s="2"/>
      </tp>
      <tp>
        <v>19.316299999999998</v>
        <stp/>
        <stp>BDP|9659115330413331875|22</stp>
        <stp>BSF AB Equity</stp>
        <stp>VWAP</stp>
        <tr r="N10" s="2"/>
      </tp>
      <tp>
        <v>-1.9757</v>
        <stp/>
        <stp>BDP|10280018646893101183|22</stp>
        <stp>SAUDIRE AB Equity</stp>
        <stp>CHG_PCT_1M_RT</stp>
        <tr r="E167" s="2"/>
      </tp>
      <tp>
        <v>14.99</v>
        <stp/>
        <stp>BDP|17206118169213561216|22</stp>
        <stp>NGCO AB Equity</stp>
        <stp>HIGH</stp>
        <tr r="M199" s="2"/>
      </tp>
      <tp>
        <v>6.22</v>
        <stp/>
        <stp>BDP|7684692622322487723|22</stp>
        <stp>SMASCO AB Equity</stp>
        <stp>YEST_LAST_TRADE</stp>
        <tr r="G35" s="2"/>
      </tp>
      <tp>
        <v>18.809999999999999</v>
        <stp/>
        <stp>BDP|16106655379844969078|22</stp>
        <stp>ADES AB Equity</stp>
        <stp>HIGH</stp>
        <tr r="M90" s="2"/>
      </tp>
      <tp>
        <v>26.4</v>
        <stp/>
        <stp>BDP|2681596882546791158|22</stp>
        <stp>SCERCO AB Equity</stp>
        <stp>YEST_LAST_TRADE</stp>
        <tr r="G20" s="2"/>
      </tp>
      <tp>
        <v>13.7995</v>
        <stp/>
        <stp>BDP|16563441024975876504|22</stp>
        <stp>UACC AB Equity</stp>
        <stp>VWAP</stp>
        <tr r="N206" s="2"/>
      </tp>
      <tp>
        <v>16.32</v>
        <stp/>
        <stp>BDP|3075781401327023487|22</stp>
        <stp>MEDGULF AB Equity</stp>
        <stp>BID</stp>
        <tr r="Q171" s="2"/>
      </tp>
      <tp>
        <v>131.69999999999999</v>
        <stp/>
        <stp>BDP|18373726726201173134|22</stp>
        <stp>NCLE AB Equity</stp>
        <stp>HIGH</stp>
        <tr r="M65" s="2"/>
      </tp>
      <tp>
        <v>11.78</v>
        <stp/>
        <stp>BDP|11163750213134629535|22</stp>
        <stp>BJAZ AB Equity</stp>
        <stp>HIGH</stp>
        <tr r="M6" s="2"/>
      </tp>
      <tp>
        <v>14.04</v>
        <stp/>
        <stp>BDP|6695906243750025802|22</stp>
        <stp>NICEONE AB Equity</stp>
        <stp>BID</stp>
        <tr r="Q42" s="2"/>
      </tp>
      <tp>
        <v>22.19</v>
        <stp/>
        <stp>BDP|5523906536288552174|22</stp>
        <stp>ALOMRAN AB Equity</stp>
        <stp>ASK</stp>
        <tr r="R25" s="2"/>
      </tp>
      <tp>
        <v>45.92</v>
        <stp/>
        <stp>BDP|8610039376328448748|22</stp>
        <stp>TAMKEEN AB Equity</stp>
        <stp>ASK</stp>
        <tr r="R36" s="2"/>
      </tp>
      <tp>
        <v>37.96</v>
        <stp/>
        <stp>BDP|4688847796733498131|22</stp>
        <stp>MARAFIQ AB Equity</stp>
        <stp>ASK</stp>
        <tr r="R288" s="2"/>
      </tp>
      <tp>
        <v>23.74</v>
        <stp/>
        <stp>BDP|5953185406011068358|22</stp>
        <stp>APPC AB Equity</stp>
        <stp>BID</stp>
        <tr r="Q233" s="2"/>
      </tp>
      <tp>
        <v>26.86</v>
        <stp/>
        <stp>BDP|8820055653018337678|22</stp>
        <stp>ALCO AB Equity</stp>
        <stp>LOW</stp>
        <tr r="L237" s="2"/>
      </tp>
      <tp>
        <v>7.63</v>
        <stp/>
        <stp>BDP|7399534065017563827|22</stp>
        <stp>MRNA AB Equity</stp>
        <stp>BID</stp>
        <tr r="Q124" s="2"/>
      </tp>
      <tp>
        <v>51.772799999999997</v>
        <stp/>
        <stp>BDP|16918887713788270910|22</stp>
        <stp>SABIC AB Equity</stp>
        <stp>VWAP</stp>
        <tr r="N228" s="2"/>
      </tp>
      <tp>
        <v>32.619999999999997</v>
        <stp/>
        <stp>BDP|10623403492072043695|22</stp>
        <stp>TALCO AB Equity</stp>
        <stp>OPEN</stp>
        <tr r="K208" s="2"/>
      </tp>
      <tp>
        <v>123.14570000000001</v>
        <stp/>
        <stp>BDP|14118184133969690113|22</stp>
        <stp>SAFCO AB Equity</stp>
        <stp>VWAP</stp>
        <tr r="N238" s="2"/>
      </tp>
      <tp>
        <v>166.56649999999999</v>
        <stp/>
        <stp>BDP|17109131319039194207|22</stp>
        <stp>SCACO AB Equity</stp>
        <stp>VWAP</stp>
        <tr r="N28" s="2"/>
      </tp>
      <tp>
        <v>5.2401999999999997</v>
        <stp/>
        <stp>BDP|13264623475436184533|22</stp>
        <stp>ALINMARE AB Equity</stp>
        <stp>CHG_PCT_YTD_RT</stp>
        <tr r="F96" s="2"/>
      </tp>
      <tp>
        <v>13.17</v>
        <stp/>
        <stp>BDP|9162368730328455108|22</stp>
        <stp>SIBC AB Equity</stp>
        <stp>LOW</stp>
        <tr r="L11" s="2"/>
      </tp>
      <tp>
        <v>83.027100000000004</v>
        <stp/>
        <stp>BDP|16829159793487744541|22</stp>
        <stp>MCDCO AB Equity</stp>
        <stp>VWAP</stp>
        <tr r="N257" s="2"/>
      </tp>
      <tp>
        <v>201414</v>
        <stp/>
        <stp>BDP|13807299284007361438|22</stp>
        <stp>ABOMOATI AB Equity</stp>
        <stp>VOLUME</stp>
        <tr r="J43" s="2"/>
      </tp>
      <tp>
        <v>6.55</v>
        <stp/>
        <stp>BDP|9744020880908481524|22</stp>
        <stp>APCO AB Equity</stp>
        <stp>ASK</stp>
        <tr r="R192" s="2"/>
      </tp>
      <tp>
        <v>6.3513999999999999</v>
        <stp/>
        <stp>BDP|13923658305161850500|22</stp>
        <stp>ALMASARA AB Equity</stp>
        <stp>CHG_PCT_1M_RT</stp>
        <tr r="E78" s="2"/>
      </tp>
      <tp>
        <v>18.27</v>
        <stp/>
        <stp>BDP|11862767644316185794|22</stp>
        <stp>TAIBA AB Equity</stp>
        <stp>LOW</stp>
        <tr r="L264" s="2"/>
      </tp>
      <tp>
        <v>15.254200000000001</v>
        <stp/>
        <stp>BDP|14332603854629102668|22</stp>
        <stp>ALETIHAD AB Equity</stp>
        <stp>CHG_PCT_1M_RT</stp>
        <tr r="E180" s="2"/>
      </tp>
      <tp>
        <v>30.3</v>
        <stp/>
        <stp>BDP|17466866548224488132|22</stp>
        <stp>SACCO AB Equity</stp>
        <stp>LOW</stp>
        <tr r="L229" s="2"/>
      </tp>
      <tp>
        <v>36.456600000000002</v>
        <stp/>
        <stp>BDP|5723110686105519632|22</stp>
        <stp>THIMAR AB Equity</stp>
        <stp>VWAP</stp>
        <tr r="N83" s="2"/>
      </tp>
      <tp>
        <v>-0.4341999888420105</v>
        <stp/>
        <stp>BDP|2907416785846212409|22</stp>
        <stp>FIPCO AB Equity</stp>
        <stp>RT_PX_CHG_PCT_1D</stp>
        <tr r="D232" s="2"/>
      </tp>
      <tp>
        <v>0.85089999437332153</v>
        <stp/>
        <stp>BDP|1542021207993002668|22</stp>
        <stp>BAWAN AB Equity</stp>
        <stp>RT_PX_CHG_PCT_1D</stp>
        <tr r="D22" s="2"/>
      </tp>
      <tp>
        <v>6.5709</v>
        <stp/>
        <stp>BDP|5986906606930512615|22</stp>
        <stp>CGS AB Equity</stp>
        <stp>VWAP</stp>
        <tr r="N31" s="2"/>
      </tp>
      <tp>
        <v>11.6</v>
        <stp/>
        <stp>BDP|5454803434261714060|22</stp>
        <stp>KINGDOM AB Equity</stp>
        <stp>BID</stp>
        <tr r="Q125" s="2"/>
      </tp>
      <tp>
        <v>56.65</v>
        <stp/>
        <stp>BDP|3829375124832961260|22</stp>
        <stp>TANMIAH AB Equity</stp>
        <stp>BID</stp>
        <tr r="Q146" s="2"/>
      </tp>
      <tp>
        <v>130.80000000000001</v>
        <stp/>
        <stp>BDP|5964085059244652151|22</stp>
        <stp>ALMAJED AB Equity</stp>
        <stp>BID</stp>
        <tr r="Q163" s="2"/>
      </tp>
      <tp>
        <v>9.64</v>
        <stp/>
        <stp>BDP|4521418908902896761|22</stp>
        <stp>SALAMA AB Equity</stp>
        <stp>YEST_LAST_TRADE</stp>
        <tr r="G172" s="2"/>
      </tp>
      <tp>
        <v>5.81</v>
        <stp/>
        <stp>BDP|2096360286191408223|22</stp>
        <stp>NAJRAN AB Equity</stp>
        <stp>YEST_LAST_TRADE</stp>
        <tr r="G211" s="2"/>
      </tp>
      <tp>
        <v>11.22</v>
        <stp/>
        <stp>BDP|2963640833835854774|22</stp>
        <stp>ALABDUL AB Equity</stp>
        <stp>LOW</stp>
        <tr r="L58" s="2"/>
      </tp>
      <tp>
        <v>7.1429</v>
        <stp/>
        <stp>BDP|5922209274617233660|22</stp>
        <stp>SMASCO AB Equity</stp>
        <stp>CHG_PCT_1M_RT</stp>
        <tr r="E35" s="2"/>
      </tp>
      <tp>
        <v>124.3</v>
        <stp/>
        <stp>BDP|5465824739305910433|22</stp>
        <stp>LUBEREF AB Equity</stp>
        <stp>ASK</stp>
        <tr r="R235" s="2"/>
      </tp>
      <tp>
        <v>19.701899999999998</v>
        <stp/>
        <stp>BDP|13892308056065531884|22</stp>
        <stp>SVCP AB Equity</stp>
        <stp>VWAP</stp>
        <tr r="N202" s="2"/>
      </tp>
      <tp>
        <v>233020</v>
        <stp/>
        <stp>BDP|15090768371428439659|22</stp>
        <stp>JAZTAKAF AB Equity</stp>
        <stp>VOLUME</stp>
        <tr r="J178" s="2"/>
      </tp>
      <tp>
        <v>128.6</v>
        <stp/>
        <stp>BDP|9831472364081308994|22</stp>
        <stp>NCLE AB Equity</stp>
        <stp>LOW</stp>
        <tr r="L65" s="2"/>
      </tp>
      <tp>
        <v>3.95</v>
        <stp/>
        <stp>BDP|5245749733170884133|22</stp>
        <stp>GGCI AB Equity</stp>
        <stp>BID</stp>
        <tr r="Q187" s="2"/>
      </tp>
      <tp>
        <v>2.2484999999999999</v>
        <stp/>
        <stp>BDP|16981454982057783000|22</stp>
        <stp>BATIC AB Equity</stp>
        <stp>VWAP</stp>
        <tr r="N26" s="2"/>
      </tp>
      <tp>
        <v>8.86</v>
        <stp/>
        <stp>BDP|8274252667077686030|22</stp>
        <stp>AICC AB Equity</stp>
        <stp>BID</stp>
        <tr r="Q168" s="2"/>
      </tp>
      <tp>
        <v>5.16</v>
        <stp/>
        <stp>BDP|8589723136588828327|22</stp>
        <stp>JOUF AB Equity</stp>
        <stp>ASK</stp>
        <tr r="R216" s="2"/>
      </tp>
      <tp>
        <v>17.190000000000001</v>
        <stp/>
        <stp>BDP|2555656439822078511|22</stp>
        <stp>SIDC AB Equity</stp>
        <stp>BID</stp>
        <tr r="Q56" s="2"/>
      </tp>
      <tp>
        <v>70.150000000000006</v>
        <stp/>
        <stp>BDP|2382552382988358598|22</stp>
        <stp>NGIC AB Equity</stp>
        <stp>ASK</stp>
        <tr r="R293" s="2"/>
      </tp>
      <tp>
        <v>12.5589</v>
        <stp/>
        <stp>BDP|853265624311839243|22</stp>
        <stp>LIVA AB Equity</stp>
        <stp>VWAP</stp>
        <tr r="N173" s="2"/>
      </tp>
      <tp>
        <v>1.6849000453948975</v>
        <stp/>
        <stp>BDP|12112761407517838287|22</stp>
        <stp>BUILDSTA AB Equity</stp>
        <stp>RT_PX_CHG_PCT_1D</stp>
        <tr r="D44" s="2"/>
      </tp>
      <tp>
        <v>12.4</v>
        <stp/>
        <stp>BDP|17198149854742481741|22</stp>
        <stp>NMMCC AB Equity</stp>
        <stp>OPEN</stp>
        <tr r="K195" s="2"/>
      </tp>
      <tp>
        <v>33.86</v>
        <stp/>
        <stp>BDP|17633003908285945591|22</stp>
        <stp>SISCO AB Equity</stp>
        <stp>ASK</stp>
        <tr r="R284" s="2"/>
      </tp>
      <tp>
        <v>4.8076999999999996</v>
        <stp/>
        <stp>BDP|12975148593416116713|22</stp>
        <stp>FIRSTMIL AB Equity</stp>
        <stp>CHG_PCT_1M_RT</stp>
        <tr r="E135" s="2"/>
      </tp>
      <tp>
        <v>5.8320999999999996</v>
        <stp/>
        <stp>BDP|5405306188930216584|22</stp>
        <stp>NAJRAN AB Equity</stp>
        <stp>VWAP</stp>
        <tr r="N211" s="2"/>
      </tp>
      <tp>
        <v>9.9633998870849609</v>
        <stp/>
        <stp>BDP|8829559946369579196|22</stp>
        <stp>ALLIANZ AB Equity</stp>
        <stp>RT_PX_CHG_PCT_1D</stp>
        <tr r="D175" s="2"/>
      </tp>
      <tp>
        <v>15.12</v>
        <stp/>
        <stp>BDP|13836947323922737555|22</stp>
        <stp>JOMAR AB Equity</stp>
        <stp>BID</stp>
        <tr r="Q66" s="2"/>
      </tp>
      <tp>
        <v>1.8145</v>
        <stp/>
        <stp>BDP|776983594489379544|22</stp>
        <stp>RYDREIT AB Equity</stp>
        <stp>CHG_PCT_YTD_RT</stp>
        <tr r="F111" s="2"/>
      </tp>
      <tp>
        <v>78.569599999999994</v>
        <stp/>
        <stp>BDP|5199963969420002973|22</stp>
        <stp>LEEJAM AB Equity</stp>
        <stp>VWAP</stp>
        <tr r="N71" s="2"/>
      </tp>
      <tp>
        <v>59.075299999999999</v>
        <stp/>
        <stp>BDP|4159374917712991950|22</stp>
        <stp>MAADEN AB Equity</stp>
        <stp>VWAP</stp>
        <tr r="N210" s="2"/>
      </tp>
      <tp>
        <v>-1.4515000581741333</v>
        <stp/>
        <stp>BDP|8213381058176500535|22</stp>
        <stp>SAUDIRE AB Equity</stp>
        <stp>RT_PX_CHG_PCT_1D</stp>
        <tr r="D167" s="2"/>
      </tp>
      <tp>
        <v>1.996</v>
        <stp/>
        <stp>BDP|16314723781901464444|22</stp>
        <stp>TAKWEEN AB Equity</stp>
        <stp>CHG_PCT_1M_RT</stp>
        <tr r="E218" s="2"/>
      </tp>
      <tp>
        <v>29.42</v>
        <stp/>
        <stp>BDP|10150732217994355008|22</stp>
        <stp>YANSAB AB Equity</stp>
        <stp>BID</stp>
        <tr r="Q205" s="2"/>
      </tp>
      <tp>
        <v>13.92</v>
        <stp/>
        <stp>BDP|12808874955114933541|22</stp>
        <stp>CENOMI AB Equity</stp>
        <stp>ASK</stp>
        <tr r="R49" s="2"/>
      </tp>
      <tp>
        <v>6.83</v>
        <stp/>
        <stp>BDP|10335916210047559458|22</stp>
        <stp>ALSAIF AB Equity</stp>
        <stp>BID</stp>
        <tr r="Q50" s="2"/>
      </tp>
      <tp>
        <v>9.2622999999999998</v>
        <stp/>
        <stp>BDP|15070423850186294005|22</stp>
        <stp>GULFUNI AB Equity</stp>
        <stp>CHG_PCT_1M_RT</stp>
        <tr r="E190" s="2"/>
      </tp>
      <tp>
        <v>6.44</v>
        <stp/>
        <stp>BDP|11325752957953508074|22</stp>
        <stp>2P AB Equity</stp>
        <stp>YEST_LAST_TRADE</stp>
        <tr r="G267" s="2"/>
      </tp>
      <tp>
        <v>23.96</v>
        <stp/>
        <stp>BDP|12826858607239312588|22</stp>
        <stp>REDSEA AB Equity</stp>
        <stp>ASK</stp>
        <tr r="R252" s="2"/>
      </tp>
      <tp>
        <v>14.0755</v>
        <stp/>
        <stp>BDP|1887484796335865689|22</stp>
        <stp>EIC AB Equity</stp>
        <stp>VWAP</stp>
        <tr r="N16" s="2"/>
      </tp>
      <tp>
        <v>24.83</v>
        <stp/>
        <stp>BDP|12042111354660110793|22</stp>
        <stp>UCIC AB Equity</stp>
        <stp>OPEN</stp>
        <tr r="K194" s="2"/>
      </tp>
      <tp>
        <v>21.68</v>
        <stp/>
        <stp>BDP|5286181980127131657|22</stp>
        <stp>ALOMRAN AB Equity</stp>
        <stp>LOW</stp>
        <tr r="L25" s="2"/>
      </tp>
      <tp>
        <v>10.25</v>
        <stp/>
        <stp>BDP|4075344538761168300|22</stp>
        <stp>MALATH AB Equity</stp>
        <stp>LAST_PRICE</stp>
        <tr r="B182" s="2"/>
        <tr r="C182" s="2"/>
      </tp>
      <tp>
        <v>9.1199999999999992</v>
        <stp/>
        <stp>BDP|13541577978146646198|22</stp>
        <stp>AICC AB Equity</stp>
        <stp>HIGH</stp>
        <tr r="M168" s="2"/>
      </tp>
      <tp>
        <v>8.7954000000000008</v>
        <stp/>
        <stp>BDP|11412329718557928935|22</stp>
        <stp>DERAYAHR AB Equity</stp>
        <stp>CHG_PCT_YTD_RT</stp>
        <tr r="F104" s="2"/>
      </tp>
      <tp>
        <v>-7.3654000000000002</v>
        <stp/>
        <stp>BDP|9753142340038997936|22</stp>
        <stp>LUMI AB Equity</stp>
        <stp>CHG_PCT_1M_RT</stp>
        <tr r="E280" s="2"/>
      </tp>
      <tp>
        <v>2.0499999999999998</v>
        <stp/>
        <stp>BDP|14943719138181597397|22</stp>
        <stp>AATD AB Equity</stp>
        <stp>LAST_PRICE</stp>
        <tr r="B76" s="2"/>
        <tr r="C76" s="2"/>
      </tp>
      <tp>
        <v>66</v>
        <stp/>
        <stp>BDP|2022460085091702377|22</stp>
        <stp>RJHI AB Equity</stp>
        <stp>ASK</stp>
        <tr r="R12" s="2"/>
      </tp>
      <tp>
        <v>-0.45149999856948853</v>
        <stp/>
        <stp>BDP|13036083446680821385|22</stp>
        <stp>TADAWULG AB Equity</stp>
        <stp>RT_PX_CHG_PCT_1D</stp>
        <tr r="D120" s="2"/>
      </tp>
      <tp>
        <v>101.9</v>
        <stp/>
        <stp>BDP|5575943661180995176|22</stp>
        <stp>ALMAWARI AB Equity</stp>
        <stp>YEST_LAST_TRADE</stp>
        <tr r="G38" s="2"/>
      </tp>
      <tp>
        <v>15</v>
        <stp/>
        <stp>BDP|6817355378161819994|22</stp>
        <stp>ALKHLEEJ AB Equity</stp>
        <stp>YEST_LAST_TRADE</stp>
        <tr r="G64" s="2"/>
      </tp>
      <tp>
        <v>4.9843999999999999</v>
        <stp/>
        <stp>BDP|18163947614654182859|22</stp>
        <stp>JADWA AB Equity</stp>
        <stp>VWAP</stp>
        <tr r="N101" s="2"/>
      </tp>
      <tp>
        <v>15.09</v>
        <stp/>
        <stp>BDP|17405025437405764160|22</stp>
        <stp>ASACO AB Equity</stp>
        <stp>HIGH</stp>
        <tr r="M127" s="2"/>
      </tp>
      <tp>
        <v>105.2</v>
        <stp/>
        <stp>BDP|968147963202515660|22</stp>
        <stp>CARE AB Equity</stp>
        <stp>OPEN</stp>
        <tr r="K158" s="2"/>
      </tp>
      <tp>
        <v>-6.7390999999999996</v>
        <stp/>
        <stp>BDP|13952491405514966396|22</stp>
        <stp>ABOMOATI AB Equity</stp>
        <stp>CHG_PCT_YTD_RT</stp>
        <tr r="F43" s="2"/>
      </tp>
      <tp>
        <v>93.3262</v>
        <stp/>
        <stp>BDP|15860768955128723388|22</stp>
        <stp>NAHDI AB Equity</stp>
        <stp>VWAP</stp>
        <tr r="N86" s="2"/>
      </tp>
      <tp>
        <v>11.29</v>
        <stp/>
        <stp>BDP|6827479303690795086|22</stp>
        <stp>SAPTCO AB Equity</stp>
        <stp>HIGH</stp>
        <tr r="M279" s="2"/>
      </tp>
      <tp>
        <v>33.299999999999997</v>
        <stp/>
        <stp>BDP|18003507471697655024|22</stp>
        <stp>SISCO AB Equity</stp>
        <stp>LOW</stp>
        <tr r="L284" s="2"/>
      </tp>
      <tp>
        <v>30.32</v>
        <stp/>
        <stp>BDP|2862016693455173257|22</stp>
        <stp>BUDGET AB Equity</stp>
        <stp>OPEN</stp>
        <tr r="K285" s="2"/>
      </tp>
      <tp>
        <v>15.51</v>
        <stp/>
        <stp>BDP|14994500767734761211|22</stp>
        <stp>YNCCO AB Equity</stp>
        <stp>LOW</stp>
        <tr r="L209" s="2"/>
      </tp>
      <tp>
        <v>-4.9962</v>
        <stp/>
        <stp>BDP|10853882710093591986|22</stp>
        <stp>ALMUNAJE AB Equity</stp>
        <stp>CHG_PCT_1M_RT</stp>
        <tr r="E87" s="2"/>
      </tp>
      <tp>
        <v>2.4</v>
        <stp/>
        <stp>BDP|14900876123728546418|22</stp>
        <stp>SIECO AB Equity</stp>
        <stp>BID</stp>
        <tr r="Q29" s="2"/>
      </tp>
      <tp>
        <v>0.60750000000000004</v>
        <stp/>
        <stp>BDP|15097311998865231962|22</stp>
        <stp>ALINMAHO AB Equity</stp>
        <stp>CHG_PCT_1M_RT</stp>
        <tr r="E97" s="2"/>
      </tp>
      <tp>
        <v>109.5</v>
        <stp/>
        <stp>BDP|18150296657746223051|22</stp>
        <stp>DALLAH AB Equity</stp>
        <stp>BID</stp>
        <tr r="Q160" s="2"/>
      </tp>
      <tp>
        <v>9.99</v>
        <stp/>
        <stp>BDP|10365592813099995215|22</stp>
        <stp>BONYAN AB Equity</stp>
        <stp>LOW</stp>
        <tr r="L114" s="2"/>
      </tp>
      <tp>
        <v>28.188600000000001</v>
        <stp/>
        <stp>BDP|8311701215974916449|22</stp>
        <stp>SRE AB Equity</stp>
        <stp>VWAP</stp>
        <tr r="N251" s="2"/>
      </tp>
      <tp>
        <v>31.04</v>
        <stp/>
        <stp>BDP|9976861681265823340|22</stp>
        <stp>SGS AB Equity</stp>
        <stp>OPEN</stp>
        <tr r="K281" s="2"/>
      </tp>
      <tp>
        <v>3.2490999698638916</v>
        <stp/>
        <stp>BDP|9932611762032380273|22</stp>
        <stp>ENAYA AB Equity</stp>
        <stp>RT_PX_CHG_PCT_1D</stp>
        <tr r="D179" s="2"/>
      </tp>
      <tp>
        <v>10.76</v>
        <stp/>
        <stp>BDP|14371993427150708017|22</stp>
        <stp>TALEEM AB Equity</stp>
        <stp>ASK</stp>
        <tr r="R112" s="2"/>
      </tp>
      <tp>
        <v>4.0058999061584473</v>
        <stp/>
        <stp>BDP|4397859399926446585|22</stp>
        <stp>TAACO AB Equity</stp>
        <stp>RT_PX_CHG_PCT_1D</stp>
        <tr r="D141" s="2"/>
      </tp>
      <tp>
        <v>107</v>
        <stp/>
        <stp>BDP|15847027485523468994|22</stp>
        <stp>CARE AB Equity</stp>
        <stp>HIGH</stp>
        <tr r="M158" s="2"/>
      </tp>
      <tp>
        <v>30.6</v>
        <stp/>
        <stp>BDP|6174027711416831755|22</stp>
        <stp>BUDGET AB Equity</stp>
        <stp>YEST_LAST_TRADE</stp>
        <tr r="G285" s="2"/>
      </tp>
      <tp>
        <v>-1.0891000032424927</v>
        <stp/>
        <stp>BDP|964676385649112531|22</stp>
        <stp>BONYAN AB Equity</stp>
        <stp>RT_PX_CHG_PCT_1D</stp>
        <tr r="D114" s="2"/>
      </tp>
      <tp>
        <v>10.14</v>
        <stp/>
        <stp>BDP|6157034959755593054|22</stp>
        <stp>SALAMA AB Equity</stp>
        <stp>LAST_PRICE</stp>
        <tr r="B172" s="2"/>
        <tr r="C172" s="2"/>
      </tp>
      <tp>
        <v>-12.803800000000001</v>
        <stp/>
        <stp>BDP|6787794283577326807|22</stp>
        <stp>YANSAB AB Equity</stp>
        <stp>CHG_PCT_1M_RT</stp>
        <tr r="E205" s="2"/>
      </tp>
      <tp>
        <v>12.75</v>
        <stp/>
        <stp>BDP|11050065391271162952|22</stp>
        <stp>LIVA AB Equity</stp>
        <stp>HIGH</stp>
        <tr r="M173" s="2"/>
      </tp>
      <tp>
        <v>7.3605999999999998</v>
        <stp/>
        <stp>BDP|13307073662933195450|22</stp>
        <stp>SPPC AB Equity</stp>
        <stp>VWAP</stp>
        <tr r="N40" s="2"/>
      </tp>
      <tp>
        <v>7.5</v>
        <stp/>
        <stp>BDP|226133806323896408|22</stp>
        <stp>SPPC AB Equity</stp>
        <stp>HIGH</stp>
        <tr r="M40" s="2"/>
      </tp>
      <tp>
        <v>155.5</v>
        <stp/>
        <stp>BDP|17137545396761595633|22</stp>
        <stp>RASAN AB Equity</stp>
        <stp>OPEN</stp>
        <tr r="K189" s="2"/>
      </tp>
      <tp>
        <v>808707</v>
        <stp/>
        <stp>BDP|18213775448158440991|22</stp>
        <stp>BURGERIZ AB Equity</stp>
        <stp>VOLUME</stp>
        <tr r="J63" s="2"/>
      </tp>
      <tp>
        <v>35.56</v>
        <stp/>
        <stp>BDP|7247263211898718706|22</stp>
        <stp>UIHC AB Equity</stp>
        <stp>ASK</stp>
        <tr r="R119" s="2"/>
      </tp>
      <tp>
        <v>-1.4154000282287598</v>
        <stp/>
        <stp>BDP|12247754161429123237|22</stp>
        <stp>ARABIAND AB Equity</stp>
        <stp>RT_PX_CHG_PCT_1D</stp>
        <tr r="D91" s="2"/>
      </tp>
      <tp>
        <v>194</v>
        <stp/>
        <stp>BDP|17437790016001562161|22</stp>
        <stp>ACWA AB Equity</stp>
        <stp>LAST_PRICE</stp>
        <tr r="C289" s="2"/>
        <tr r="B289" s="2"/>
      </tp>
      <tp>
        <v>6.67</v>
        <stp/>
        <stp>BDP|9818585763462798968|22</stp>
        <stp>ACIG AB Equity</stp>
        <stp>LOW</stp>
        <tr r="L170" s="2"/>
      </tp>
      <tp>
        <v>26.94</v>
        <stp/>
        <stp>BDP|3971574472153420487|22</stp>
        <stp>ALCO AB Equity</stp>
        <stp>BID</stp>
        <tr r="Q237" s="2"/>
      </tp>
      <tp>
        <v>7.33</v>
        <stp/>
        <stp>BDP|14116742326508551491|22</stp>
        <stp>SPPC AB Equity</stp>
        <stp>LAST_PRICE</stp>
        <tr r="B40" s="2"/>
        <tr r="C40" s="2"/>
      </tp>
      <tp>
        <v>110.6</v>
        <stp/>
        <stp>BDP|17835739057959292014|22</stp>
        <stp>AWPT AB Equity</stp>
        <stp>LAST_PRICE</stp>
        <tr r="C290" s="2"/>
        <tr r="B290" s="2"/>
      </tp>
      <tp>
        <v>10.89</v>
        <stp/>
        <stp>BDP|554479608926881164|22</stp>
        <stp>AADC AB Equity</stp>
        <stp>OPEN</stp>
        <tr r="K128" s="2"/>
      </tp>
      <tp>
        <v>3.4</v>
        <stp/>
        <stp>BDP|14765814200656622264|22</stp>
        <stp>MEFIC AB Equity</stp>
        <stp>OPEN</stp>
        <tr r="K108" s="2"/>
      </tp>
      <tp>
        <v>13.76</v>
        <stp/>
        <stp>BDP|2511204592300920821|22</stp>
        <stp>UACC AB Equity</stp>
        <stp>LOW</stp>
        <tr r="L206" s="2"/>
      </tp>
      <tp>
        <v>12.55</v>
        <stp/>
        <stp>BDP|4263082764957171120|22</stp>
        <stp>LIVA AB Equity</stp>
        <stp>ASK</stp>
        <tr r="R173" s="2"/>
      </tp>
      <tp>
        <v>12.629799999999999</v>
        <stp/>
        <stp>BDP|13401002921201529757|22</stp>
        <stp>NMMCC AB Equity</stp>
        <stp>VWAP</stp>
        <tr r="N195" s="2"/>
      </tp>
      <tp>
        <v>17.100000000000001</v>
        <stp/>
        <stp>BDP|7469000967543497611|22</stp>
        <stp>SAIC AB Equity</stp>
        <stp>BID</stp>
        <tr r="Q117" s="2"/>
      </tp>
      <tp>
        <v>2.4</v>
        <stp/>
        <stp>BDP|12371368918065846192|22</stp>
        <stp>SIECO AB Equity</stp>
        <stp>OPEN</stp>
        <tr r="K29" s="2"/>
      </tp>
      <tp>
        <v>12.08</v>
        <stp/>
        <stp>BDP|18199737910343027046|22</stp>
        <stp>RETAL AB Equity</stp>
        <stp>ASK</stp>
        <tr r="R250" s="2"/>
      </tp>
      <tp>
        <v>9.0399999999999991</v>
        <stp/>
        <stp>BDP|4255126406800471822|22</stp>
        <stp>ATTMCO AB Equity</stp>
        <stp>HIGH</stp>
        <tr r="M131" s="2"/>
      </tp>
      <tp>
        <v>0.74570000000000003</v>
        <stp/>
        <stp>BDP|11147810663933700461|22</stp>
        <stp>ALHAMMAD AB Equity</stp>
        <stp>CHG_PCT_1M_RT</stp>
        <tr r="E159" s="2"/>
      </tp>
      <tp>
        <v>7.81</v>
        <stp/>
        <stp>BDP|12981981920526151119|22</stp>
        <stp>TACCO AB Equity</stp>
        <stp>LOW</stp>
        <tr r="L212" s="2"/>
      </tp>
      <tp>
        <v>-0.54839998483657837</v>
        <stp/>
        <stp>BDP|2778063854328321044|22</stp>
        <stp>MEDGULF AB Equity</stp>
        <stp>RT_PX_CHG_PCT_1D</stp>
        <tr r="D171" s="2"/>
      </tp>
      <tp>
        <v>1.0996999999999999</v>
        <stp/>
        <stp>BDP|18391317165954786870|22</stp>
        <stp>TAWUNIYA AB Equity</stp>
        <stp>CHG_PCT_1M_RT</stp>
        <tr r="E183" s="2"/>
      </tp>
      <tp>
        <v>29.34</v>
        <stp/>
        <stp>BDP|2981489905615635902|22</stp>
        <stp>SAVOLA AB Equity</stp>
        <stp>HIGH</stp>
        <tr r="M143" s="2"/>
      </tp>
      <tp>
        <v>13.91</v>
        <stp/>
        <stp>BDP|13466420208478670454|22</stp>
        <stp>CENOMI AB Equity</stp>
        <stp>BID</stp>
        <tr r="Q49" s="2"/>
      </tp>
      <tp>
        <v>55.738399999999999</v>
        <stp/>
        <stp>BDP|1109235621907631779|22</stp>
        <stp>SPM AB Equity</stp>
        <stp>VWAP</stp>
        <tr r="N215" s="2"/>
      </tp>
      <tp>
        <v>6.27</v>
        <stp/>
        <stp>BDP|11767610445257149180|22</stp>
        <stp>SMASCO AB Equity</stp>
        <stp>BID</stp>
        <tr r="Q35" s="2"/>
      </tp>
      <tp>
        <v>178.8</v>
        <stp/>
        <stp>BDP|8870964828251409450|22</stp>
        <stp>SAL AB Equity</stp>
        <stp>OPEN</stp>
        <tr r="K282" s="2"/>
      </tp>
      <tp>
        <v>10.3</v>
        <stp/>
        <stp>BDP|12464549836598462942|22</stp>
        <stp>TALEEM AB Equity</stp>
        <stp>LOW</stp>
        <tr r="L112" s="2"/>
      </tp>
      <tp>
        <v>687.5</v>
        <stp/>
        <stp>BDP|2009931181545031456|22</stp>
        <stp>ELM AB Equity</stp>
        <stp>OPEN</stp>
        <tr r="K269" s="2"/>
      </tp>
      <tp>
        <v>19.2</v>
        <stp/>
        <stp>BDP|2040830236893553198|22</stp>
        <stp>BSF AB Equity</stp>
        <stp>OPEN</stp>
        <tr r="K10" s="2"/>
      </tp>
      <tp>
        <v>7.39</v>
        <stp/>
        <stp>BDP|15888878292446636112|22</stp>
        <stp>NOFOTH AB Equity</stp>
        <stp>ASK</stp>
        <tr r="R148" s="2"/>
      </tp>
      <tp>
        <v>8.16</v>
        <stp/>
        <stp>BDP|13600935127507754073|22</stp>
        <stp>GIZACO AB Equity</stp>
        <stp>LOW</stp>
        <tr r="L133" s="2"/>
      </tp>
      <tp>
        <v>12.04</v>
        <stp/>
        <stp>BDP|13347229719258272042|22</stp>
        <stp>SHIELD AB Equity</stp>
        <stp>ASK</stp>
        <tr r="R174" s="2"/>
      </tp>
      <tp>
        <v>1.6878000497817993</v>
        <stp/>
        <stp>BDP|9446163367394504361|22</stp>
        <stp>SIECO AB Equity</stp>
        <stp>RT_PX_CHG_PCT_1D</stp>
        <tr r="D29" s="2"/>
      </tp>
      <tp>
        <v>20.45</v>
        <stp/>
        <stp>BDP|6569909279061544411|22</stp>
        <stp>TAPRCO AB Equity</stp>
        <stp>CHG_PCT_1M_RT</stp>
        <tr r="E241" s="2"/>
      </tp>
      <tp>
        <v>55.2</v>
        <stp/>
        <stp>BDP|18056690644712552752|22</stp>
        <stp>NAQI AB Equity</stp>
        <stp>HIGH</stp>
        <tr r="M136" s="2"/>
      </tp>
      <tp>
        <v>42</v>
        <stp/>
        <stp>BDP|8811835800183963208|22</stp>
        <stp>YAMAMAH AB Equity</stp>
        <stp>BID</stp>
        <tr r="Q214" s="2"/>
      </tp>
      <tp>
        <v>35.700000000000003</v>
        <stp/>
        <stp>BDP|2835140859524365753|22</stp>
        <stp>ZOUJAJ AB Equity</stp>
        <stp>YEST_LAST_TRADE</stp>
        <tr r="G220" s="2"/>
      </tp>
      <tp>
        <v>5.14</v>
        <stp/>
        <stp>BDP|5261162812662498484|22</stp>
        <stp>JOUF AB Equity</stp>
        <stp>BID</stp>
        <tr r="Q216" s="2"/>
      </tp>
      <tp>
        <v>-7.2237999999999998</v>
        <stp/>
        <stp>BDP|3296824674465368756|22</stp>
        <stp>APCO AB Equity</stp>
        <stp>CHG_PCT_1M_RT</stp>
        <tr r="E192" s="2"/>
      </tp>
      <tp>
        <v>24.25</v>
        <stp/>
        <stp>BDP|8433292835441902155|22</stp>
        <stp>ALBI AB Equity</stp>
        <stp>BID</stp>
        <tr r="Q5" s="2"/>
      </tp>
      <tp>
        <v>23.5</v>
        <stp/>
        <stp>BDP|2755126021522875405|22</stp>
        <stp>ALMASARA AB Equity</stp>
        <stp>YEST_LAST_TRADE</stp>
        <tr r="G78" s="2"/>
      </tp>
      <tp>
        <v>13.07</v>
        <stp/>
        <stp>BDP|6433300558101977943|22</stp>
        <stp>GACO AB Equity</stp>
        <stp>BID</stp>
        <tr r="Q142" s="2"/>
      </tp>
      <tp>
        <v>17.2</v>
        <stp/>
        <stp>BDP|5429414344904521224|22</stp>
        <stp>SIDC AB Equity</stp>
        <stp>ASK</stp>
        <tr r="R56" s="2"/>
      </tp>
      <tp>
        <v>27</v>
        <stp/>
        <stp>BDP|2190345768801133432|22</stp>
        <stp>ALCO AB Equity</stp>
        <stp>ASK</stp>
        <tr r="R237" s="2"/>
      </tp>
      <tp>
        <v>0.44539999961853027</v>
        <stp/>
        <stp>BDP|10517846393297973732|22</stp>
        <stp>ALARABIA AB Equity</stp>
        <stp>RT_PX_CHG_PCT_1D</stp>
        <tr r="D244" s="2"/>
      </tp>
      <tp>
        <v>43.479199999999999</v>
        <stp/>
        <stp>BDP|10598898728043248351|22</stp>
        <stp>JADCO AB Equity</stp>
        <stp>VWAP</stp>
        <tr r="N145" s="2"/>
      </tp>
      <tp>
        <v>828395</v>
        <stp/>
        <stp>BDP|17568077989318696698|22</stp>
        <stp>ALWASAIL AB Equity</stp>
        <stp>VOLUME</stp>
        <tr r="J32" s="2"/>
      </tp>
      <tp>
        <v>15.62</v>
        <stp/>
        <stp>BDP|12802656293073473906|22</stp>
        <stp>SRECO AB Equity</stp>
        <stp>HIGH</stp>
        <tr r="M254" s="2"/>
      </tp>
      <tp>
        <v>77</v>
        <stp/>
        <stp>BDP|15661595618889441261|22</stp>
        <stp>SFICO AB Equity</stp>
        <stp>OPEN</stp>
        <tr r="K130" s="2"/>
      </tp>
      <tp>
        <v>0.17239999771118164</v>
        <stp/>
        <stp>BDP|9385460554592595484|22</stp>
        <stp>KINGDOM AB Equity</stp>
        <stp>RT_PX_CHG_PCT_1D</stp>
        <tr r="D125" s="2"/>
      </tp>
      <tp>
        <v>16.8</v>
        <stp/>
        <stp>BDP|17891825675338950237|22</stp>
        <stp>JARIR AB Equity</stp>
        <stp>ASK</stp>
        <tr r="R51" s="2"/>
      </tp>
      <tp>
        <v>79.95</v>
        <stp/>
        <stp>BDP|17710798336336920048|22</stp>
        <stp>SFICO AB Equity</stp>
        <stp>ASK</stp>
        <tr r="R130" s="2"/>
      </tp>
      <tp>
        <v>54.2</v>
        <stp/>
        <stp>BDP|11632219398598918326|22</stp>
        <stp>SARCO AB Equity</stp>
        <stp>ASK</stp>
        <tr r="R93" s="2"/>
      </tp>
      <tp>
        <v>-0.97719999999999996</v>
        <stp/>
        <stp>BDP|15734534465627454091|22</stp>
        <stp>ALKHLEEJ AB Equity</stp>
        <stp>CHG_PCT_1M_RT</stp>
        <tr r="E64" s="2"/>
      </tp>
      <tp>
        <v>25.1</v>
        <stp/>
        <stp>BDP|13828406391044228513|22</stp>
        <stp>YACCO AB Equity</stp>
        <stp>LOW</stp>
        <tr r="L222" s="2"/>
      </tp>
      <tp>
        <v>9.85</v>
        <stp/>
        <stp>BDP|4562019326659331316|22</stp>
        <stp>MALATH AB Equity</stp>
        <stp>OPEN</stp>
        <tr r="K182" s="2"/>
      </tp>
      <tp>
        <v>-7.6749000000000001</v>
        <stp/>
        <stp>BDP|12970211987799148218|22</stp>
        <stp>CHEMICAL AB Equity</stp>
        <stp>CHG_PCT_1M_RT</stp>
        <tr r="E154" s="2"/>
      </tp>
      <tp>
        <v>16.760000000000002</v>
        <stp/>
        <stp>BDP|18289781956065321109|22</stp>
        <stp>JARIR AB Equity</stp>
        <stp>BID</stp>
        <tr r="Q51" s="2"/>
      </tp>
      <tp>
        <v>30</v>
        <stp/>
        <stp>BDP|14767686630508440081|22</stp>
        <stp>BUDGET AB Equity</stp>
        <stp>LOW</stp>
        <tr r="L285" s="2"/>
      </tp>
      <tp>
        <v>0.44440001249313354</v>
        <stp/>
        <stp>BDP|4307728965800352578|22</stp>
        <stp>BATIC AB Equity</stp>
        <stp>RT_PX_CHG_PCT_1D</stp>
        <tr r="D26" s="2"/>
      </tp>
      <tp>
        <v>-9.6386000000000003</v>
        <stp/>
        <stp>BDP|14296086020503541004|22</stp>
        <stp>ALDAWAA AB Equity</stp>
        <stp>CHG_PCT_1M_RT</stp>
        <tr r="E81" s="2"/>
      </tp>
      <tp>
        <v>5.84</v>
        <stp/>
        <stp>BDP|11192919544695353344|22</stp>
        <stp>NAJRAN AB Equity</stp>
        <stp>ASK</stp>
        <tr r="R211" s="2"/>
      </tp>
      <tp>
        <v>685.33079999999995</v>
        <stp/>
        <stp>BDP|2578141577369810293|22</stp>
        <stp>ELM AB Equity</stp>
        <stp>VWAP</stp>
        <tr r="N269" s="2"/>
      </tp>
      <tp>
        <v>109.8</v>
        <stp/>
        <stp>BDP|18239363842776248541|22</stp>
        <stp>DALLAH AB Equity</stp>
        <stp>ASK</stp>
        <tr r="R160" s="2"/>
      </tp>
      <tp>
        <v>2.29</v>
        <stp/>
        <stp>BDP|17235063905468282778|22</stp>
        <stp>ABDICO AB Equity</stp>
        <stp>ASK</stp>
        <tr r="R123" s="2"/>
      </tp>
      <tp>
        <v>-1.0556999444961548</v>
        <stp/>
        <stp>BDP|8647529305938168572|22</stp>
        <stp>SABIC AB Equity</stp>
        <stp>RT_PX_CHG_PCT_1D</stp>
        <tr r="D228" s="2"/>
      </tp>
      <tp>
        <v>98.2</v>
        <stp/>
        <stp>BDP|2532173677767532564|22</stp>
        <stp>DWF AB Equity</stp>
        <stp>OPEN</stp>
        <tr r="K70" s="2"/>
      </tp>
      <tp>
        <v>13.360300000000001</v>
        <stp/>
        <stp>BDP|15220760293275424643|22</stp>
        <stp>SIBC AB Equity</stp>
        <stp>VWAP</stp>
        <tr r="N11" s="2"/>
      </tp>
      <tp>
        <v>9.86</v>
        <stp/>
        <stp>BDP|7792784604804747198|22</stp>
        <stp>NAYIFAT AB Equity</stp>
        <stp>LOW</stp>
        <tr r="L121" s="2"/>
      </tp>
      <tp>
        <v>110</v>
        <stp/>
        <stp>BDP|3536318917231230802|22</stp>
        <stp>DALLAH AB Equity</stp>
        <stp>YEST_LAST_TRADE</stp>
        <tr r="G160" s="2"/>
      </tp>
      <tp>
        <v>124.1</v>
        <stp/>
        <stp>BDP|2096733447714078366|22</stp>
        <stp>LUBEREF AB Equity</stp>
        <stp>BID</stp>
        <tr r="Q235" s="2"/>
      </tp>
      <tp>
        <v>10.57</v>
        <stp/>
        <stp>BDP|3425325472023743232|22</stp>
        <stp>ZAINKSA AB Equity</stp>
        <stp>LOW</stp>
        <tr r="L276" s="2"/>
      </tp>
      <tp>
        <v>28.58</v>
        <stp/>
        <stp>BDP|5197936263437499521|22</stp>
        <stp>SAVOLA AB Equity</stp>
        <stp>LAST_PRICE</stp>
        <tr r="B143" s="2"/>
        <tr r="C143" s="2"/>
      </tp>
      <tp>
        <v>29.6</v>
        <stp/>
        <stp>BDP|7998613530790608044|22</stp>
        <stp>YANSAB AB Equity</stp>
        <stp>YEST_LAST_TRADE</stp>
        <tr r="G205" s="2"/>
      </tp>
      <tp>
        <v>5.45</v>
        <stp/>
        <stp>BDP|2483786759558816695|22</stp>
        <stp>BAAZEEM AB Equity</stp>
        <stp>LOW</stp>
        <tr r="L48" s="2"/>
      </tp>
      <tp>
        <v>12.35</v>
        <stp/>
        <stp>BDP|8654417441782799097|22</stp>
        <stp>ALABDUL AB Equity</stp>
        <stp>ASK</stp>
        <tr r="R58" s="2"/>
      </tp>
      <tp>
        <v>10.79</v>
        <stp/>
        <stp>BDP|7037095836030232142|22</stp>
        <stp>ALJAZIRA AB Equity</stp>
        <stp>YEST_LAST_TRADE</stp>
        <tr r="G102" s="2"/>
      </tp>
      <tp>
        <v>-27.689900000000002</v>
        <stp/>
        <stp>BDP|14930393829748590116|22</stp>
        <stp>MBCGROUP AB Equity</stp>
        <stp>CHG_PCT_YTD_RT</stp>
        <tr r="F243" s="2"/>
      </tp>
      <tp>
        <v>32.299999999999997</v>
        <stp/>
        <stp>BDP|9854370665344125279|22</stp>
        <stp>LUMI AB Equity</stp>
        <stp>LOW</stp>
        <tr r="L280" s="2"/>
      </tp>
      <tp>
        <v>17.809999999999999</v>
        <stp/>
        <stp>BDP|7601224584839896093|22</stp>
        <stp>SECO AB Equity</stp>
        <stp>ASK</stp>
        <tr r="R291" s="2"/>
      </tp>
      <tp>
        <v>188.5</v>
        <stp/>
        <stp>BDP|4938618643313243489|22</stp>
        <stp>ACWA AB Equity</stp>
        <stp>LOW</stp>
        <tr r="L289" s="2"/>
      </tp>
      <tp>
        <v>23.7</v>
        <stp/>
        <stp>BDP|6425958081838304235|22</stp>
        <stp>APPC AB Equity</stp>
        <stp>LOW</stp>
        <tr r="L233" s="2"/>
      </tp>
      <tp>
        <v>39.96</v>
        <stp/>
        <stp>BDP|10166659510609876071|22</stp>
        <stp>BAWAN AB Equity</stp>
        <stp>OPEN</stp>
        <tr r="K22" s="2"/>
      </tp>
      <tp>
        <v>18.54</v>
        <stp/>
        <stp>BDP|13619292293656271008|22</stp>
        <stp>TAIBA AB Equity</stp>
        <stp>OPEN</stp>
        <tr r="K264" s="2"/>
      </tp>
      <tp>
        <v>3.3971</v>
        <stp/>
        <stp>BDP|12571957852686533522|22</stp>
        <stp>MEFIC AB Equity</stp>
        <stp>VWAP</stp>
        <tr r="N108" s="2"/>
      </tp>
      <tp>
        <v>2.0499999999999998</v>
        <stp/>
        <stp>BDP|8567859576122141197|22</stp>
        <stp>AATD AB Equity</stp>
        <stp>ASK</stp>
        <tr r="R76" s="2"/>
      </tp>
      <tp>
        <v>15.81</v>
        <stp/>
        <stp>BDP|14109965064940760500|22</stp>
        <stp>NADEC AB Equity</stp>
        <stp>OPEN</stp>
        <tr r="K140" s="2"/>
      </tp>
      <tp>
        <v>7.96</v>
        <stp/>
        <stp>BDP|18115009432355164499|22</stp>
        <stp>SEDCO AB Equity</stp>
        <stp>OPEN</stp>
        <tr r="K99" s="2"/>
      </tp>
      <tp>
        <v>43.8</v>
        <stp/>
        <stp>BDP|7913729305356146404|22</stp>
        <stp>SACO AB Equity</stp>
        <stp>LOW</stp>
        <tr r="L45" s="2"/>
      </tp>
      <tp>
        <v>54.8</v>
        <stp/>
        <stp>BDP|7974735324106215042|22</stp>
        <stp>NAQI AB Equity</stp>
        <stp>ASK</stp>
        <tr r="R136" s="2"/>
      </tp>
      <tp>
        <v>17.079999999999998</v>
        <stp/>
        <stp>BDP|16181408143003189015|22</stp>
        <stp>ASLAK AB Equity</stp>
        <stp>HIGH</stp>
        <tr r="M219" s="2"/>
      </tp>
      <tp>
        <v>20.86</v>
        <stp/>
        <stp>BDP|17969412387182284344|22</stp>
        <stp>SEERA AB Equity</stp>
        <stp>OPEN</stp>
        <tr r="K74" s="2"/>
      </tp>
      <tp>
        <v>52.1</v>
        <stp/>
        <stp>BDP|15221658131717524984|22</stp>
        <stp>SABIC AB Equity</stp>
        <stp>OPEN</stp>
        <tr r="K228" s="2"/>
      </tp>
      <tp>
        <v>15.13</v>
        <stp/>
        <stp>BDP|16972403343265660652|22</stp>
        <stp>JOMAR AB Equity</stp>
        <stp>ASK</stp>
        <tr r="R66" s="2"/>
      </tp>
      <tp>
        <v>18</v>
        <stp/>
        <stp>BDP|13915141781621730835|22</stp>
        <stp>MASAR AB Equity</stp>
        <stp>ASK</stp>
        <tr r="R253" s="2"/>
      </tp>
      <tp>
        <v>1.39</v>
        <stp/>
        <stp>BDP|10958107321256458617|22</stp>
        <stp>SMARKETI AB Equity</stp>
        <stp>CHG_PCT_1M_RT</stp>
        <tr r="E85" s="2"/>
      </tp>
      <tp>
        <v>11.44</v>
        <stp/>
        <stp>BDP|12345344483732383867|22</stp>
        <stp>ENAYA AB Equity</stp>
        <stp>LAST_PRICE</stp>
        <tr r="B179" s="2"/>
        <tr r="C179" s="2"/>
      </tp>
      <tp>
        <v>-8.7472999999999992</v>
        <stp/>
        <stp>BDP|10396499383882995525|22</stp>
        <stp>SALEHALR AB Equity</stp>
        <stp>CHG_PCT_1M_RT</stp>
        <tr r="E239" s="2"/>
      </tp>
      <tp>
        <v>-1.122499942779541</v>
        <stp/>
        <stp>BDP|9462949173621379844|22</stp>
        <stp>ZAINKSA AB Equity</stp>
        <stp>RT_PX_CHG_PCT_1D</stp>
        <tr r="D276" s="2"/>
      </tp>
      <tp>
        <v>14.0579</v>
        <stp/>
        <stp>BDP|5063885918161007264|22</stp>
        <stp>CENOMI AB Equity</stp>
        <stp>VWAP</stp>
        <tr r="N49" s="2"/>
      </tp>
      <tp>
        <v>165</v>
        <stp/>
        <stp>BDP|11087192037418298762|22</stp>
        <stp>SCACO AB Equity</stp>
        <stp>LOW</stp>
        <tr r="L28" s="2"/>
      </tp>
      <tp>
        <v>21.92</v>
        <stp/>
        <stp>BDP|659661872561471250|22</stp>
        <stp>ALOMRAN AB Equity</stp>
        <stp>YEST_LAST_TRADE</stp>
        <tr r="G25" s="2"/>
      </tp>
      <tp>
        <v>31.074000000000002</v>
        <stp/>
        <stp>BDP|6073798710579979629|22</stp>
        <stp>SGS AB Equity</stp>
        <stp>VWAP</stp>
        <tr r="N281" s="2"/>
      </tp>
      <tp>
        <v>7.4850000000000003</v>
        <stp/>
        <stp>BDP|14511964063829313156|22</stp>
        <stp>ARABSEA AB Equity</stp>
        <stp>CHG_PCT_1M_RT</stp>
        <tr r="E272" s="2"/>
      </tp>
      <tp>
        <v>32.533499999999997</v>
        <stp/>
        <stp>BDP|8761707140565719071|22</stp>
        <stp>GIG AB Equity</stp>
        <stp>VWAP</stp>
        <tr r="N185" s="2"/>
      </tp>
      <tp>
        <v>29.82</v>
        <stp/>
        <stp>BDP|10550364158862847491|22</stp>
        <stp>NASEEJ AB Equity</stp>
        <stp>LOW</stp>
        <tr r="L55" s="2"/>
      </tp>
      <tp>
        <v>-2.0660998821258545</v>
        <stp/>
        <stp>BDP|4761811269469861222|22</stp>
        <stp>MCDCO AB Equity</stp>
        <stp>RT_PX_CHG_PCT_1D</stp>
        <tr r="D257" s="2"/>
      </tp>
      <tp>
        <v>-0.49849998950958252</v>
        <stp/>
        <stp>BDP|9449176650320600251|22</stp>
        <stp>EMAAR AB Equity</stp>
        <stp>RT_PX_CHG_PCT_1D</stp>
        <tr r="D262" s="2"/>
      </tp>
      <tp>
        <v>78.650000000000006</v>
        <stp/>
        <stp>BDP|4086639629378773229|22</stp>
        <stp>LEEJAM AB Equity</stp>
        <stp>YEST_LAST_TRADE</stp>
        <tr r="G71" s="2"/>
      </tp>
      <tp>
        <v>2.7366999999999999</v>
        <stp/>
        <stp>BDP|17510638142651856775|22</stp>
        <stp>SADR AB Equity</stp>
        <stp>VWAP</stp>
        <tr r="N39" s="2"/>
      </tp>
      <tp>
        <v>2.2200000000000002</v>
        <stp/>
        <stp>BDP|2889921629032891408|22</stp>
        <stp>ABDICO AB Equity</stp>
        <stp>YEST_LAST_TRADE</stp>
        <tr r="G123" s="2"/>
      </tp>
      <tp>
        <v>24.6</v>
        <stp/>
        <stp>BDP|6404899805505743491|22</stp>
        <stp>ALINMA AB Equity</stp>
        <stp>YEST_LAST_TRADE</stp>
        <tr r="G4" s="2"/>
      </tp>
      <tp>
        <v>20.009499999999999</v>
        <stp/>
        <stp>BDP|10329597123697342277|22</stp>
        <stp>RIBL AB Equity</stp>
        <stp>VWAP</stp>
        <tr r="N9" s="2"/>
      </tp>
      <tp>
        <v>23.96</v>
        <stp/>
        <stp>BDP|4990806247773597141|22</stp>
        <stp>CHERRY AB Equity</stp>
        <stp>LAST_PRICE</stp>
        <tr r="C53" s="2"/>
        <tr r="B53" s="2"/>
      </tp>
      <tp>
        <v>2.04</v>
        <stp/>
        <stp>BDP|4840879175090415993|22</stp>
        <stp>AATD AB Equity</stp>
        <stp>BID</stp>
        <tr r="Q76" s="2"/>
      </tp>
      <tp>
        <v>-6.3978000000000002</v>
        <stp/>
        <stp>BDP|16178231358498583021|22</stp>
        <stp>NORTHCEM AB Equity</stp>
        <stp>CHG_PCT_YTD_RT</stp>
        <tr r="F230" s="2"/>
      </tp>
      <tp>
        <v>10.89</v>
        <stp/>
        <stp>BDP|9907863248701404312|22</stp>
        <stp>AADC AB Equity</stp>
        <stp>LOW</stp>
        <tr r="L128" s="2"/>
      </tp>
      <tp>
        <v>5.18</v>
        <stp/>
        <stp>BDP|14006317387252641256|22</stp>
        <stp>KAYAN AB Equity</stp>
        <stp>OPEN</stp>
        <tr r="K198" s="2"/>
      </tp>
      <tp>
        <v>13.88</v>
        <stp/>
        <stp>BDP|8910652955453593275|22</stp>
        <stp>UACC AB Equity</stp>
        <stp>ASK</stp>
        <tr r="R206" s="2"/>
      </tp>
      <tp>
        <v>62.65</v>
        <stp/>
        <stp>BDP|7289483325925343433|22</stp>
        <stp>MOUWASAT AB Equity</stp>
        <stp>YEST_LAST_TRADE</stp>
        <tr r="G156" s="2"/>
      </tp>
      <tp>
        <v>44.14</v>
        <stp/>
        <stp>BDP|3266136343713418892|22</stp>
        <stp>SACO AB Equity</stp>
        <stp>BID</stp>
        <tr r="Q45" s="2"/>
      </tp>
      <tp>
        <v>531703</v>
        <stp/>
        <stp>BDP|16430047689544037|22</stp>
        <stp>FOURTHMI AB Equity</stp>
        <stp>VOLUME</stp>
        <tr r="J132" s="2"/>
      </tp>
      <tp>
        <v>3.04</v>
        <stp/>
        <stp>BDP|17537833037810947355|22</stp>
        <stp>BANAN AB Equity</stp>
        <stp>OPEN</stp>
        <tr r="K256" s="2"/>
      </tp>
      <tp>
        <v>59</v>
        <stp/>
        <stp>BDP|9578006612340787498|22</stp>
        <stp>AVALONPH AB Equity</stp>
        <stp>YEST_LAST_TRADE</stp>
        <tr r="G247" s="2"/>
      </tp>
      <tp>
        <v>7</v>
        <stp/>
        <stp>BDP|6978980818045997741|22</stp>
        <stp>ACIG AB Equity</stp>
        <stp>ASK</stp>
        <tr r="R170" s="2"/>
      </tp>
      <tp>
        <v>2.2058999538421631</v>
        <stp/>
        <stp>BDP|17549128355975834066|22</stp>
        <stp>ALANDALU AB Equity</stp>
        <stp>RT_PX_CHG_PCT_1D</stp>
        <tr r="D258" s="2"/>
      </tp>
      <tp>
        <v>156262</v>
        <stp/>
        <stp>BDP|16263989378078666835|22</stp>
        <stp>ALMAWARI AB Equity</stp>
        <stp>VOLUME</stp>
        <tr r="J38" s="2"/>
      </tp>
      <tp>
        <v>8.8463999999999992</v>
        <stp/>
        <stp>BDP|12623213245399601974|22</stp>
        <stp>AMLAK AB Equity</stp>
        <stp>VWAP</stp>
        <tr r="N122" s="2"/>
      </tp>
      <tp>
        <v>24.39</v>
        <stp/>
        <stp>BDP|4769897604300557576|22</stp>
        <stp>ALBI AB Equity</stp>
        <stp>ASK</stp>
        <tr r="R5" s="2"/>
      </tp>
      <tp>
        <v>26.4</v>
        <stp/>
        <stp>BDP|2060146274463379987|22</stp>
        <stp>SCERCO AB Equity</stp>
        <stp>OPEN</stp>
        <tr r="K20" s="2"/>
      </tp>
      <tp>
        <v>6.22</v>
        <stp/>
        <stp>BDP|1157101904091929535|22</stp>
        <stp>SMASCO AB Equity</stp>
        <stp>OPEN</stp>
        <tr r="K35" s="2"/>
      </tp>
      <tp>
        <v>4.0834000000000001</v>
        <stp/>
        <stp>BDP|16321962020280179612|22</stp>
        <stp>RIYADHCA AB Equity</stp>
        <stp>CHG_PCT_1M_RT</stp>
        <tr r="E23" s="2"/>
      </tp>
      <tp>
        <v>-6.7114000000000003</v>
        <stp/>
        <stp>BDP|14888517140390636217|22</stp>
        <stp>ALANDALU AB Equity</stp>
        <stp>CHG_PCT_1M_RT</stp>
        <tr r="E258" s="2"/>
      </tp>
      <tp>
        <v>33.74</v>
        <stp/>
        <stp>BDP|12546937920195587499|22</stp>
        <stp>SISCO AB Equity</stp>
        <stp>BID</stp>
        <tr r="Q284" s="2"/>
      </tp>
      <tp>
        <v>10.16</v>
        <stp/>
        <stp>BDP|12460430265071210200|22</stp>
        <stp>WALAA AB Equity</stp>
        <stp>LOW</stp>
        <tr r="L169" s="2"/>
      </tp>
      <tp>
        <v>0</v>
        <stp/>
        <stp>BDP|9264553847019902461|22</stp>
        <stp>ALDAWAA AB Equity</stp>
        <stp>RT_PX_CHG_PCT_1D</stp>
        <tr r="D81" s="2"/>
      </tp>
      <tp>
        <v>-5.5496999999999996</v>
        <stp/>
        <stp>BDP|10521755850960550677|22</stp>
        <stp>ALARABIA AB Equity</stp>
        <stp>CHG_PCT_1M_RT</stp>
        <tr r="E244" s="2"/>
      </tp>
      <tp>
        <v>15.12</v>
        <stp/>
        <stp>BDP|17070404730886884479|22</stp>
        <stp>JOMAR AB Equity</stp>
        <stp>LOW</stp>
        <tr r="L66" s="2"/>
      </tp>
      <tp>
        <v>26.28</v>
        <stp/>
        <stp>BDP|14788170214285003703|22</stp>
        <stp>SCERCO AB Equity</stp>
        <stp>LOW</stp>
        <tr r="L20" s="2"/>
      </tp>
      <tp>
        <v>9.43</v>
        <stp/>
        <stp>BDP|12739027490955726441|22</stp>
        <stp>SALAMA AB Equity</stp>
        <stp>LOW</stp>
        <tr r="L172" s="2"/>
      </tp>
      <tp>
        <v>13.728199999999999</v>
        <stp/>
        <stp>BDP|14370126210704929606|22</stp>
        <stp>MEDGULF AB Equity</stp>
        <stp>CHG_PCT_1M_RT</stp>
        <tr r="E171" s="2"/>
      </tp>
      <tp>
        <v>1.6298999786376953</v>
        <stp/>
        <stp>BDP|5037572914862553149|22</stp>
        <stp>SAICO AB Equity</stp>
        <stp>RT_PX_CHG_PCT_1D</stp>
        <tr r="D186" s="2"/>
      </tp>
      <tp>
        <v>2.73</v>
        <stp/>
        <stp>BDP|12181245330307616014|22</stp>
        <stp>SADR AB Equity</stp>
        <stp>OPEN</stp>
        <tr r="K39" s="2"/>
      </tp>
      <tp>
        <v>11.29</v>
        <stp/>
        <stp>BDP|15821041082964428911|22</stp>
        <stp>AADC AB Equity</stp>
        <stp>HIGH</stp>
        <tr r="M128" s="2"/>
      </tp>
      <tp>
        <v>26.7</v>
        <stp/>
        <stp>BDP|4081060177807262672|22</stp>
        <stp>SCERCO AB Equity</stp>
        <stp>LAST_PRICE</stp>
        <tr r="B20" s="2"/>
        <tr r="C20" s="2"/>
      </tp>
      <tp>
        <v>36.04</v>
        <stp/>
        <stp>BDP|1006377469649861208|22</stp>
        <stp>THIMAR AB Equity</stp>
        <stp>LAST_PRICE</stp>
        <tr r="B83" s="2"/>
        <tr r="C83" s="2"/>
      </tp>
      <tp>
        <v>14.88</v>
        <stp/>
        <stp>BDP|5796863994479930168|22</stp>
        <stp>RAYDAN AB Equity</stp>
        <stp>YEST_LAST_TRADE</stp>
        <tr r="G73" s="2"/>
      </tp>
      <tp>
        <v>113.5</v>
        <stp/>
        <stp>BDP|11016605431950148835|22</stp>
        <stp>AWPT AB Equity</stp>
        <stp>HIGH</stp>
        <tr r="M290" s="2"/>
      </tp>
      <tp>
        <v>17.847000000000001</v>
        <stp/>
        <stp>BDP|10209186766062577245|22</stp>
        <stp>FOURTHMI AB Equity</stp>
        <stp>CHG_PCT_YTD_RT</stp>
        <tr r="F132" s="2"/>
      </tp>
      <tp>
        <v>54.8</v>
        <stp/>
        <stp>BDP|10285015394685735726|22</stp>
        <stp>NAQI AB Equity</stp>
        <stp>LAST_PRICE</stp>
        <tr r="C136" s="2"/>
        <tr r="B136" s="2"/>
      </tp>
      <tp>
        <v>2.69</v>
        <stp/>
        <stp>BDP|1630877824733900577|22</stp>
        <stp>ALWASAIL AB Equity</stp>
        <stp>YEST_LAST_TRADE</stp>
        <tr r="G32" s="2"/>
      </tp>
      <tp>
        <v>17.149999999999999</v>
        <stp/>
        <stp>BDP|7154422655496710256|22</stp>
        <stp>SAIC AB Equity</stp>
        <stp>ASK</stp>
        <tr r="R117" s="2"/>
      </tp>
      <tp>
        <v>-4.9522000000000004</v>
        <stp/>
        <stp>BDP|11198156118607998689|22</stp>
        <stp>ALJAZIRA AB Equity</stp>
        <stp>CHG_PCT_YTD_RT</stp>
        <tr r="F102" s="2"/>
      </tp>
      <tp>
        <v>5.7089999999999996</v>
        <stp/>
        <stp>BDP|12137807812234205441|22</stp>
        <stp>CMCER AB Equity</stp>
        <stp>VWAP</stp>
        <tr r="N161" s="2"/>
      </tp>
      <tp>
        <v>4.6153998374938965</v>
        <stp/>
        <stp>BDP|16339598968533118898|22</stp>
        <stp>ALETIHAD AB Equity</stp>
        <stp>RT_PX_CHG_PCT_1D</stp>
        <tr r="D180" s="2"/>
      </tp>
      <tp>
        <v>8.11</v>
        <stp/>
        <stp>BDP|9346949072712433971|22</stp>
        <stp>CHEMICAL AB Equity</stp>
        <stp>YEST_LAST_TRADE</stp>
        <tr r="G154" s="2"/>
      </tp>
      <tp>
        <v>-8.1991999999999994</v>
        <stp/>
        <stp>BDP|10469395772117240023|22</stp>
        <stp>RIYADHCA AB Equity</stp>
        <stp>CHG_PCT_YTD_RT</stp>
        <tr r="F23" s="2"/>
      </tp>
      <tp>
        <v>15</v>
        <stp/>
        <stp>BDP|10284031300648183647|22</stp>
        <stp>HERFY AB Equity</stp>
        <stp>ASK</stp>
        <tr r="R69" s="2"/>
      </tp>
      <tp>
        <v>0.97089999999999999</v>
        <stp/>
        <stp>BDP|13434420202660258573|22</stp>
        <stp>FOURTHMI AB Equity</stp>
        <stp>CHG_PCT_1M_RT</stp>
        <tr r="E132" s="2"/>
      </tp>
      <tp>
        <v>51.5</v>
        <stp/>
        <stp>BDP|13580619297220772999|22</stp>
        <stp>SABIC AB Equity</stp>
        <stp>BID</stp>
        <tr r="Q228" s="2"/>
      </tp>
      <tp>
        <v>15.62</v>
        <stp/>
        <stp>BDP|16483774063389466038|22</stp>
        <stp>SRECO AB Equity</stp>
        <stp>ASK</stp>
        <tr r="R254" s="2"/>
      </tp>
      <tp>
        <v>6.74</v>
        <stp/>
        <stp>BDP|14143115611469104645|22</stp>
        <stp>TAACO AB Equity</stp>
        <stp>LOW</stp>
        <tr r="L141" s="2"/>
      </tp>
      <tp>
        <v>0.580299973487854</v>
        <stp/>
        <stp>BDP|8132639828048054981|22</stp>
        <stp>KAYAN AB Equity</stp>
        <stp>RT_PX_CHG_PCT_1D</stp>
        <tr r="D198" s="2"/>
      </tp>
      <tp>
        <v>-1.3449</v>
        <stp/>
        <stp>BDP|12479241938687657051|22</stp>
        <stp>ALMARAI AB Equity</stp>
        <stp>CHG_PCT_1M_RT</stp>
        <tr r="E144" s="2"/>
      </tp>
      <tp>
        <v>-3.8121</v>
        <stp/>
        <stp>BDP|11408325042620014377|22</stp>
        <stp>SPIMACO AB Equity</stp>
        <stp>CHG_PCT_1M_RT</stp>
        <tr r="E246" s="2"/>
      </tp>
      <tp>
        <v>9.06</v>
        <stp/>
        <stp>BDP|6165440123019235438|22</stp>
        <stp>NIC AB Equity</stp>
        <stp>OPEN</stp>
        <tr r="K224" s="2"/>
      </tp>
      <tp>
        <v>-0.3781999945640564</v>
        <stp/>
        <stp>BDP|9936902401349833489|22</stp>
        <stp>TAIBA AB Equity</stp>
        <stp>RT_PX_CHG_PCT_1D</stp>
        <tr r="D264" s="2"/>
      </tp>
      <tp>
        <v>30.8</v>
        <stp/>
        <stp>BDP|14518983564188209076|22</stp>
        <stp>MESC AB Equity</stp>
        <stp>HIGH</stp>
        <tr r="M21" s="2"/>
      </tp>
      <tp>
        <v>13.4421</v>
        <stp/>
        <stp>BDP|16843259520685092878|22</stp>
        <stp>SIIG AB Equity</stp>
        <stp>VWAP</stp>
        <tr r="N227" s="2"/>
      </tp>
      <tp>
        <v>1.9573999643325806</v>
        <stp/>
        <stp>BDP|340983665194794506|22</stp>
        <stp>CHERRY AB Equity</stp>
        <stp>RT_PX_CHG_PCT_1D</stp>
        <tr r="D53" s="2"/>
      </tp>
      <tp>
        <v>-0.39919999241828918</v>
        <stp/>
        <stp>BDP|274925313198038167|22</stp>
        <stp>CATERING AB Equity</stp>
        <stp>RT_PX_CHG_PCT_1D</stp>
        <tr r="D37" s="2"/>
      </tp>
      <tp>
        <v>130.30000000000001</v>
        <stp/>
        <stp>BDP|8517180291076151314|22</stp>
        <stp>ALMAJED AB Equity</stp>
        <stp>LOW</stp>
        <tr r="L163" s="2"/>
      </tp>
      <tp>
        <v>3.67</v>
        <stp/>
        <stp>BDP|2902406187214917621|22</stp>
        <stp>ALASEEL AB Equity</stp>
        <stp>ASK</stp>
        <tr r="R59" s="2"/>
      </tp>
      <tp>
        <v>7.39</v>
        <stp/>
        <stp>BDP|2404078253639272033|22</stp>
        <stp>NOFOTH AB Equity</stp>
        <stp>LAST_PRICE</stp>
        <tr r="B148" s="2"/>
        <tr r="C148" s="2"/>
      </tp>
      <tp>
        <v>119</v>
        <stp/>
        <stp>BDP|4192293464558307287|22</stp>
        <stp>RIYADHCA AB Equity</stp>
        <stp>YEST_LAST_TRADE</stp>
        <tr r="G23" s="2"/>
      </tp>
      <tp>
        <v>11.224500000000001</v>
        <stp/>
        <stp>BDP|10903052292163952687|22</stp>
        <stp>FIRSTMIL AB Equity</stp>
        <stp>CHG_PCT_YTD_RT</stp>
        <tr r="F135" s="2"/>
      </tp>
      <tp>
        <v>14.85</v>
        <stp/>
        <stp>BDP|5601607697120393055|22</stp>
        <stp>NGCO AB Equity</stp>
        <stp>BID</stp>
        <tr r="Q199" s="2"/>
      </tp>
      <tp>
        <v>14.24</v>
        <stp/>
        <stp>BDP|1089215000639868999|22</stp>
        <stp>NGCO AB Equity</stp>
        <stp>LOW</stp>
        <tr r="L199" s="2"/>
      </tp>
      <tp>
        <v>52</v>
        <stp/>
        <stp>BDP|17591311638890603664|22</stp>
        <stp>SARCO AB Equity</stp>
        <stp>OPEN</stp>
        <tr r="K93" s="2"/>
      </tp>
      <tp>
        <v>11.3285</v>
        <stp/>
        <stp>BDP|13895695573355932979|22</stp>
        <stp>CITYC AB Equity</stp>
        <stp>VWAP</stp>
        <tr r="N223" s="2"/>
      </tp>
      <tp>
        <v>5</v>
        <stp/>
        <stp>BDP|13030358822902200172|22</stp>
        <stp>JADWA AB Equity</stp>
        <stp>OPEN</stp>
        <tr r="K101" s="2"/>
      </tp>
      <tp>
        <v>5.1100000000000003</v>
        <stp/>
        <stp>BDP|7946888687874373760|22</stp>
        <stp>SICOSAUD AB Equity</stp>
        <stp>YEST_LAST_TRADE</stp>
        <tr r="G113" s="2"/>
      </tp>
      <tp>
        <v>33.113999999999997</v>
        <stp/>
        <stp>BDP|11394293977737348579|22</stp>
        <stp>TALCO AB Equity</stp>
        <stp>VWAP</stp>
        <tr r="N208" s="2"/>
      </tp>
      <tp>
        <v>65.900000000000006</v>
        <stp/>
        <stp>BDP|8206316925036188702|22</stp>
        <stp>RJHI AB Equity</stp>
        <stp>BID</stp>
        <tr r="Q12" s="2"/>
      </tp>
      <tp>
        <v>44.821300000000001</v>
        <stp/>
        <stp>BDP|10353487755962465562|22</stp>
        <stp>QACCO AB Equity</stp>
        <stp>VWAP</stp>
        <tr r="N225" s="2"/>
      </tp>
      <tp>
        <v>24.036300000000001</v>
        <stp/>
        <stp>BDP|5953243443482950845|22</stp>
        <stp>REDSEA AB Equity</stp>
        <stp>VWAP</stp>
        <tr r="N252" s="2"/>
      </tp>
      <tp>
        <v>7.86</v>
        <stp/>
        <stp>BDP|13888380800547288247|22</stp>
        <stp>SEDCO AB Equity</stp>
        <stp>ASK</stp>
        <tr r="R99" s="2"/>
      </tp>
      <tp>
        <v>4.4443999999999999</v>
        <stp/>
        <stp>BDP|16068634590912295554|22</stp>
        <stp>JAZTAKAF AB Equity</stp>
        <stp>CHG_PCT_1M_RT</stp>
        <tr r="E178" s="2"/>
      </tp>
      <tp>
        <v>44.72</v>
        <stp/>
        <stp>BDP|14062143434611174085|22</stp>
        <stp>QACCO AB Equity</stp>
        <stp>LOW</stp>
        <tr r="L225" s="2"/>
      </tp>
      <tp>
        <v>26.1</v>
        <stp/>
        <stp>BDP|7863247611535437689|22</stp>
        <stp>ARAMCO AB Equity</stp>
        <stp>OPEN</stp>
        <tr r="K92" s="2"/>
      </tp>
      <tp>
        <v>26.076899999999998</v>
        <stp/>
        <stp>BDP|1786027760288422375|22</stp>
        <stp>ARAMCO AB Equity</stp>
        <stp>VWAP</stp>
        <tr r="N92" s="2"/>
      </tp>
      <tp>
        <v>21</v>
        <stp/>
        <stp>BDP|15091245055236263648|22</stp>
        <stp>SEERA AB Equity</stp>
        <stp>BID</stp>
        <tr r="Q74" s="2"/>
      </tp>
      <tp>
        <v>36.26</v>
        <stp/>
        <stp>BDP|1421560000512944674|22</stp>
        <stp>ZOUJAJ AB Equity</stp>
        <stp>HIGH</stp>
        <tr r="M220" s="2"/>
      </tp>
      <tp>
        <v>12</v>
        <stp/>
        <stp>BDP|18292655979647341803|22</stp>
        <stp>SHIELD AB Equity</stp>
        <stp>BID</stp>
        <tr r="Q174" s="2"/>
      </tp>
      <tp>
        <v>36.04</v>
        <stp/>
        <stp>BDP|10674426924348742215|22</stp>
        <stp>ZOUJAJ AB Equity</stp>
        <stp>ASK</stp>
        <tr r="R220" s="2"/>
      </tp>
      <tp>
        <v>78.3</v>
        <stp/>
        <stp>BDP|16366302178629694951|22</stp>
        <stp>LEEJAM AB Equity</stp>
        <stp>BID</stp>
        <tr r="Q71" s="2"/>
      </tp>
      <tp>
        <v>14.4</v>
        <stp/>
        <stp>BDP|5279702402409290214|22</stp>
        <stp>EIC AB Equity</stp>
        <stp>OPEN</stp>
        <tr r="K16" s="2"/>
      </tp>
      <tp>
        <v>2.0660998821258545</v>
        <stp/>
        <stp>BDP|1189716479335123113|22</stp>
        <stp>AHFCO AB Equity</stp>
        <stp>RT_PX_CHG_PCT_1D</stp>
        <tr r="D60" s="2"/>
      </tp>
      <tp>
        <v>1.7178000211715698</v>
        <stp/>
        <stp>BDP|3047812640642030157|22</stp>
        <stp>TALCO AB Equity</stp>
        <stp>RT_PX_CHG_PCT_1D</stp>
        <tr r="D208" s="2"/>
      </tp>
      <tp>
        <v>78.45</v>
        <stp/>
        <stp>BDP|17470567634353526373|22</stp>
        <stp>LEEJAM AB Equity</stp>
        <stp>ASK</stp>
        <tr r="R71" s="2"/>
      </tp>
      <tp>
        <v>26.74</v>
        <stp/>
        <stp>BDP|13111385468406125525|22</stp>
        <stp>SCERCO AB Equity</stp>
        <stp>ASK</stp>
        <tr r="R20" s="2"/>
      </tp>
      <tp>
        <v>-3.0274999999999999</v>
        <stp/>
        <stp>BDP|16978131198534476635|22</stp>
        <stp>ZAINKSA AB Equity</stp>
        <stp>CHG_PCT_1M_RT</stp>
        <tr r="E276" s="2"/>
      </tp>
      <tp>
        <v>0.45350000262260437</v>
        <stp/>
        <stp>BDP|6551423399663569841|22</stp>
        <stp>AMLAK AB Equity</stp>
        <stp>RT_PX_CHG_PCT_1D</stp>
        <tr r="D122" s="2"/>
      </tp>
      <tp>
        <v>10.76</v>
        <stp/>
        <stp>BDP|8041935982598011044|22</stp>
        <stp>TALEEM AB Equity</stp>
        <stp>YEST_LAST_TRADE</stp>
        <tr r="G112" s="2"/>
      </tp>
      <tp>
        <v>24.39</v>
        <stp/>
        <stp>BDP|14229122997961027359|22</stp>
        <stp>ALBI AB Equity</stp>
        <stp>HIGH</stp>
        <tr r="M5" s="2"/>
      </tp>
      <tp>
        <v>7.3</v>
        <stp/>
        <stp>BDP|6408531228223328856|22</stp>
        <stp>NOFOTH AB Equity</stp>
        <stp>YEST_LAST_TRADE</stp>
        <tr r="G148" s="2"/>
      </tp>
      <tp>
        <v>43.5</v>
        <stp/>
        <stp>BDP|1223880429737818342|22</stp>
        <stp>ALDAWAA AB Equity</stp>
        <stp>BID</stp>
        <tr r="Q81" s="2"/>
      </tp>
      <tp>
        <v>9.91</v>
        <stp/>
        <stp>BDP|8773647664533827789|22</stp>
        <stp>NAYIFAT AB Equity</stp>
        <stp>BID</stp>
        <tr r="Q121" s="2"/>
      </tp>
      <tp>
        <v>11.23</v>
        <stp/>
        <stp>BDP|6084313052915369500|22</stp>
        <stp>SAPTCO AB Equity</stp>
        <stp>LAST_PRICE</stp>
        <tr r="B279" s="2"/>
        <tr r="C279" s="2"/>
      </tp>
      <tp>
        <v>34.095599999999997</v>
        <stp/>
        <stp>BDP|12236548549707677709|22</stp>
        <stp>ZIIC AB Equity</stp>
        <stp>VWAP</stp>
        <tr r="N221" s="2"/>
      </tp>
      <tp>
        <v>1.3971</v>
        <stp/>
        <stp>BDP|1625751010622861405|22</stp>
        <stp>REDSEA AB Equity</stp>
        <stp>CHG_PCT_1M_RT</stp>
        <tr r="E252" s="2"/>
      </tp>
      <tp>
        <v>103.6</v>
        <stp/>
        <stp>BDP|15621844092352565662|22</stp>
        <stp>CARE AB Equity</stp>
        <stp>LAST_PRICE</stp>
        <tr r="C158" s="2"/>
        <tr r="B158" s="2"/>
      </tp>
      <tp>
        <v>194</v>
        <stp/>
        <stp>BDP|5956221942706628645|22</stp>
        <stp>ACWA AB Equity</stp>
        <stp>ASK</stp>
        <tr r="R289" s="2"/>
      </tp>
      <tp>
        <v>20.95</v>
        <stp/>
        <stp>BDP|2235326308861984152|22</stp>
        <stp>ARNB AB Equity</stp>
        <stp>ASK</stp>
        <tr r="R8" s="2"/>
      </tp>
      <tp>
        <v>8.8699999999999992</v>
        <stp/>
        <stp>BDP|6106487427877752170|22</stp>
        <stp>CHEMANOL AB Equity</stp>
        <stp>YEST_LAST_TRADE</stp>
        <tr r="G234" s="2"/>
      </tp>
      <tp>
        <v>67.25</v>
        <stp/>
        <stp>BDP|5551024144356385109|22</stp>
        <stp>ALBABTAI AB Equity</stp>
        <stp>YEST_LAST_TRADE</stp>
        <tr r="G15" s="2"/>
      </tp>
      <tp>
        <v>-0.19570000469684601</v>
        <stp/>
        <stp>BDP|15792590991499943125|22</stp>
        <stp>SICOSAUD AB Equity</stp>
        <stp>RT_PX_CHG_PCT_1D</stp>
        <tr r="D113" s="2"/>
      </tp>
      <tp>
        <v>37</v>
        <stp/>
        <stp>BDP|7872039266159916241|22</stp>
        <stp>FAKEEHCA AB Equity</stp>
        <stp>YEST_LAST_TRADE</stp>
        <tr r="G157" s="2"/>
      </tp>
      <tp>
        <v>77.825699999999998</v>
        <stp/>
        <stp>BDP|10469795935002303460|22</stp>
        <stp>SFICO AB Equity</stp>
        <stp>VWAP</stp>
        <tr r="N130" s="2"/>
      </tp>
      <tp>
        <v>14.92</v>
        <stp/>
        <stp>BDP|3183432498924504309|22</stp>
        <stp>NGCO AB Equity</stp>
        <stp>ASK</stp>
        <tr r="R199" s="2"/>
      </tp>
      <tp>
        <v>19.91</v>
        <stp/>
        <stp>BDP|7671363511646286240|22</stp>
        <stp>RIBL AB Equity</stp>
        <stp>BID</stp>
        <tr r="Q9" s="2"/>
      </tp>
      <tp>
        <v>10.6236</v>
        <stp/>
        <stp>BDP|11363221515663140456|22</stp>
        <stp>SAICO AB Equity</stp>
        <stp>VWAP</stp>
        <tr r="N186" s="2"/>
      </tp>
      <tp>
        <v>-3.2746</v>
        <stp/>
        <stp>BDP|11587488312282379656|22</stp>
        <stp>BURGERIZ AB Equity</stp>
        <stp>CHG_PCT_1M_RT</stp>
        <tr r="E63" s="2"/>
      </tp>
      <tp>
        <v>24.4</v>
        <stp/>
        <stp>BDP|7403062243395380850|22</stp>
        <stp>REDSEA AB Equity</stp>
        <stp>OPEN</stp>
        <tr r="K252" s="2"/>
      </tp>
      <tp>
        <v>51.45</v>
        <stp/>
        <stp>BDP|13269552041874670750|22</stp>
        <stp>SABIC AB Equity</stp>
        <stp>LOW</stp>
        <tr r="L228" s="2"/>
      </tp>
      <tp>
        <v>10.37</v>
        <stp/>
        <stp>BDP|17265470392772897111|22</stp>
        <stp>WALAA AB Equity</stp>
        <stp>BID</stp>
        <tr r="Q169" s="2"/>
      </tp>
      <tp>
        <v>33.159999999999997</v>
        <stp/>
        <stp>BDP|14260803834555996388|22</stp>
        <stp>TALCO AB Equity</stp>
        <stp>BID</stp>
        <tr r="Q208" s="2"/>
      </tp>
      <tp>
        <v>13.6</v>
        <stp/>
        <stp>BDP|4174804561247420965|22</stp>
        <stp>SHAKER AB Equity</stp>
        <stp>OPEN</stp>
        <tr r="K18" s="2"/>
      </tp>
      <tp>
        <v>15.0578</v>
        <stp/>
        <stp>BDP|8895657409229704984|22</stp>
        <stp>SHL AB Equity</stp>
        <stp>VWAP</stp>
        <tr r="N118" s="2"/>
      </tp>
      <tp>
        <v>31.9</v>
        <stp/>
        <stp>BDP|10260095579955370312|22</stp>
        <stp>NASEEJ AB Equity</stp>
        <stp>ASK</stp>
        <tr r="R55" s="2"/>
      </tp>
      <tp>
        <v>1.8219000101089478</v>
        <stp/>
        <stp>BDP|4193923546278456153|22</stp>
        <stp>ENTAJ AB Equity</stp>
        <stp>RT_PX_CHG_PCT_1D</stp>
        <tr r="D129" s="2"/>
      </tp>
      <tp>
        <v>59.953400000000002</v>
        <stp/>
        <stp>BDP|1057960497028989675|22</stp>
        <stp>EEC AB Equity</stp>
        <stp>VWAP</stp>
        <tr r="N274" s="2"/>
      </tp>
      <tp>
        <v>22.93</v>
        <stp/>
        <stp>BDP|15719510818181761597|22</stp>
        <stp>SAWCEM AB Equity</stp>
        <stp>BID</stp>
        <tr r="Q204" s="2"/>
      </tp>
      <tp>
        <v>19.211200000000002</v>
        <stp/>
        <stp>BDP|8288155334023259590|22</stp>
        <stp>ACE AB Equity</stp>
        <stp>VWAP</stp>
        <tr r="N177" s="2"/>
      </tp>
      <tp>
        <v>37.56</v>
        <stp/>
        <stp>BDP|8714908070384047831|22</stp>
        <stp>MARAFIQ AB Equity</stp>
        <stp>LOW</stp>
        <tr r="L288" s="2"/>
      </tp>
      <tp>
        <v>18.100000000000001</v>
        <stp/>
        <stp>BDP|12471090103458077621|22</stp>
        <stp>ADCO AB Equity</stp>
        <stp>HIGH</stp>
        <tr r="M260" s="2"/>
      </tp>
      <tp>
        <v>-1.8519000000000001</v>
        <stp/>
        <stp>BDP|9316531589709331580|22</stp>
        <stp>NAJRAN AB Equity</stp>
        <stp>CHG_PCT_1M_RT</stp>
        <tr r="E211" s="2"/>
      </tp>
      <tp>
        <v>-4.9751000000000003</v>
        <stp/>
        <stp>BDP|6526961809285596815|22</stp>
        <stp>MRNA AB Equity</stp>
        <stp>CHG_PCT_1M_RT</stp>
        <tr r="E124" s="2"/>
      </tp>
      <tp>
        <v>6.97</v>
        <stp/>
        <stp>BDP|7221596120443549694|22</stp>
        <stp>ACIG AB Equity</stp>
        <stp>BID</stp>
        <tr r="Q170" s="2"/>
      </tp>
      <tp>
        <v>16.3184</v>
        <stp/>
        <stp>BDP|7585219945648122970|22</stp>
        <stp>FPCO AB Equity</stp>
        <stp>CHG_PCT_1M_RT</stp>
        <tr r="E147" s="2"/>
      </tp>
      <tp>
        <v>63314</v>
        <stp/>
        <stp>BDP|18287003435281089789|22</stp>
        <stp>ALISADRF AB Equity</stp>
        <stp>VOLUME</stp>
        <tr r="J109" s="2"/>
      </tp>
      <tp t="s">
        <v>#N/A N/A</v>
        <stp/>
        <stp>BDP|6792921163815746532|22</stp>
        <stp>NAMA AB Equity</stp>
        <stp>BID</stp>
        <tr r="Q226" s="2"/>
      </tp>
      <tp>
        <v>93.25</v>
        <stp/>
        <stp>BDP|14591094067981321068|22</stp>
        <stp>NAHDI AB Equity</stp>
        <stp>OPEN</stp>
        <tr r="K86" s="2"/>
      </tp>
      <tp>
        <v>12.14</v>
        <stp/>
        <stp>BDP|16883835262010831459|22</stp>
        <stp>ANAAM AB Equity</stp>
        <stp>OPEN</stp>
        <tr r="K84" s="2"/>
      </tp>
      <tp>
        <v>-7.3769999999999998</v>
        <stp/>
        <stp>BDP|15580876110569775238|22</stp>
        <stp>EQUIPMEN AB Equity</stp>
        <stp>CHG_PCT_YTD_RT</stp>
        <tr r="F151" s="2"/>
      </tp>
      <tp>
        <v>3.96</v>
        <stp/>
        <stp>BDP|8116163943305256799|22</stp>
        <stp>GGCI AB Equity</stp>
        <stp>ASK</stp>
        <tr r="R187" s="2"/>
      </tp>
      <tp>
        <v>97158</v>
        <stp/>
        <stp>BDP|11206573731063924331|22</stp>
        <stp>CATERING AB Equity</stp>
        <stp>VOLUME</stp>
        <tr r="J37" s="2"/>
      </tp>
      <tp>
        <v>15.51</v>
        <stp/>
        <stp>BDP|11203996516726448310|22</stp>
        <stp>YNCCO AB Equity</stp>
        <stp>OPEN</stp>
        <tr r="K209" s="2"/>
      </tp>
      <tp>
        <v>15.38</v>
        <stp/>
        <stp>BDP|12401444027573015175|22</stp>
        <stp>SRECO AB Equity</stp>
        <stp>LOW</stp>
        <tr r="L254" s="2"/>
      </tp>
      <tp>
        <v>2.72</v>
        <stp/>
        <stp>BDP|11605669320618499306|22</stp>
        <stp>OASIS AB Equity</stp>
        <stp>ASK</stp>
        <tr r="R207" s="2"/>
      </tp>
      <tp>
        <v>26.613800000000001</v>
        <stp/>
        <stp>BDP|6141568824952404170|22</stp>
        <stp>SCERCO AB Equity</stp>
        <stp>VWAP</stp>
        <tr r="N20" s="2"/>
      </tp>
      <tp>
        <v>18.47</v>
        <stp/>
        <stp>BDP|13031220200450301046|22</stp>
        <stp>TAIBA AB Equity</stp>
        <stp>ASK</stp>
        <tr r="R264" s="2"/>
      </tp>
      <tp>
        <v>2.41</v>
        <stp/>
        <stp>BDP|13820249890637415376|22</stp>
        <stp>SIECO AB Equity</stp>
        <stp>ASK</stp>
        <tr r="R29" s="2"/>
      </tp>
      <tp>
        <v>7.35</v>
        <stp/>
        <stp>BDP|9948125501106617680|22</stp>
        <stp>NOFOTH AB Equity</stp>
        <stp>OPEN</stp>
        <tr r="K148" s="2"/>
      </tp>
      <tp>
        <v>2.6840000152587891</v>
        <stp/>
        <stp>BDP|7608524328719390742|22</stp>
        <stp>WATAN AB Equity</stp>
        <stp>RT_PX_CHG_PCT_1D</stp>
        <tr r="D165" s="2"/>
      </tp>
      <tp>
        <v>-7.5856000000000003</v>
        <stp/>
        <stp>BDP|16281898143838751921|22</stp>
        <stp>TANMIAH AB Equity</stp>
        <stp>CHG_PCT_1M_RT</stp>
        <tr r="E146" s="2"/>
      </tp>
      <tp>
        <v>3.0418000221252441</v>
        <stp/>
        <stp>BDP|1572345764058484220|22</stp>
        <stp>OASIS AB Equity</stp>
        <stp>RT_PX_CHG_PCT_1D</stp>
        <tr r="D207" s="2"/>
      </tp>
      <tp>
        <v>30.34</v>
        <stp/>
        <stp>BDP|16215752411863009947|22</stp>
        <stp>BUDGET AB Equity</stp>
        <stp>ASK</stp>
        <tr r="R285" s="2"/>
      </tp>
      <tp>
        <v>13.45</v>
        <stp/>
        <stp>BDP|17012908038609657360|22</stp>
        <stp>GACO AB Equity</stp>
        <stp>HIGH</stp>
        <tr r="M142" s="2"/>
      </tp>
      <tp>
        <v>6.59</v>
        <stp/>
        <stp>BDP|9357237316616182123|22</stp>
        <stp>2P AB Equity</stp>
        <stp>ASK</stp>
        <tr r="R267" s="2"/>
      </tp>
      <tp>
        <v>6.57</v>
        <stp/>
        <stp>BDP|5622538183183398512|22</stp>
        <stp>2P AB Equity</stp>
        <stp>BID</stp>
        <tr r="Q267" s="2"/>
      </tp>
      <tp>
        <v>16.55</v>
        <stp/>
        <stp>BDP|5591404471402050580|22</stp>
        <stp>TAPRCO AB Equity</stp>
        <stp>YEST_LAST_TRADE</stp>
        <tr r="G241" s="2"/>
      </tp>
      <tp>
        <v>11.2</v>
        <stp/>
        <stp>BDP|2035359416246269737|22</stp>
        <stp>SAPTCO AB Equity</stp>
        <stp>YEST_LAST_TRADE</stp>
        <tr r="G279" s="2"/>
      </tp>
      <tp>
        <v>6.7</v>
        <stp/>
        <stp>BDP|13013427100869657475|22</stp>
        <stp>APCO AB Equity</stp>
        <stp>HIGH</stp>
        <tr r="M192" s="2"/>
      </tp>
      <tp>
        <v>56.8</v>
        <stp/>
        <stp>BDP|2130065959938778040|22</stp>
        <stp>TANMIAH AB Equity</stp>
        <stp>ASK</stp>
        <tr r="R146" s="2"/>
      </tp>
      <tp>
        <v>2.25</v>
        <stp/>
        <stp>BDP|15941296906507739422|22</stp>
        <stp>BATIC AB Equity</stp>
        <stp>OPEN</stp>
        <tr r="K26" s="2"/>
      </tp>
      <tp>
        <v>24.18</v>
        <stp/>
        <stp>BDP|10282929689153975995|22</stp>
        <stp>ENTAJ AB Equity</stp>
        <stp>OPEN</stp>
        <tr r="K129" s="2"/>
      </tp>
      <tp>
        <v>11.27</v>
        <stp/>
        <stp>BDP|12966792784839957806|22</stp>
        <stp>CITYC AB Equity</stp>
        <stp>OPEN</stp>
        <tr r="K223" s="2"/>
      </tp>
      <tp>
        <v>17.899999999999999</v>
        <stp/>
        <stp>BDP|6272109886647091972|22</stp>
        <stp>MEPC AB Equity</stp>
        <stp>BID</stp>
        <tr r="Q197" s="2"/>
      </tp>
      <tp>
        <v>5.2140000000000004</v>
        <stp/>
        <stp>BDP|13082897614209029087|22</stp>
        <stp>KAYAN AB Equity</stp>
        <stp>VWAP</stp>
        <tr r="N198" s="2"/>
      </tp>
      <tp>
        <v>4.8899999999999997</v>
        <stp/>
        <stp>BDP|8159405399999096166|22</stp>
        <stp>BINDAWOO AB Equity</stp>
        <stp>YEST_LAST_TRADE</stp>
        <tr r="G80" s="2"/>
      </tp>
      <tp>
        <v>11.6296</v>
        <stp/>
        <stp>BDP|14958492891783099662|22</stp>
        <stp>ENAYA AB Equity</stp>
        <stp>VWAP</stp>
        <tr r="N179" s="2"/>
      </tp>
      <tp>
        <v>-0.25740000605583191</v>
        <stp/>
        <stp>BDP|13902644057274957113|22</stp>
        <stp>JAMJOOMP AB Equity</stp>
        <stp>RT_PX_CHG_PCT_1D</stp>
        <tr r="D248" s="2"/>
      </tp>
      <tp>
        <v>15.2804</v>
        <stp/>
        <stp>BDP|13508388322468533738|22</stp>
        <stp>JOMAR AB Equity</stp>
        <stp>VWAP</stp>
        <tr r="N66" s="2"/>
      </tp>
      <tp>
        <v>14.09</v>
        <stp/>
        <stp>BDP|2354977697111560078|22</stp>
        <stp>SAAC AB Equity</stp>
        <stp>LOW</stp>
        <tr r="L17" s="2"/>
      </tp>
      <tp>
        <v>43.92</v>
        <stp/>
        <stp>BDP|3489727990491292842|22</stp>
        <stp>BUILDSTA AB Equity</stp>
        <stp>YEST_LAST_TRADE</stp>
        <tr r="G44" s="2"/>
      </tp>
      <tp>
        <v>17.63</v>
        <stp/>
        <stp>BDP|7246398178980469512|22</stp>
        <stp>SECO AB Equity</stp>
        <stp>LOW</stp>
        <tr r="L291" s="2"/>
      </tp>
      <tp>
        <v>8.27</v>
        <stp/>
        <stp>BDP|7184401543314405706|22</stp>
        <stp>ALINMAHO AB Equity</stp>
        <stp>YEST_LAST_TRADE</stp>
        <tr r="G97" s="2"/>
      </tp>
      <tp>
        <v>166.2</v>
        <stp/>
        <stp>BDP|16624898024303677943|22</stp>
        <stp>SCACO AB Equity</stp>
        <stp>OPEN</stp>
        <tr r="K28" s="2"/>
      </tp>
      <tp>
        <v>0.70990002155303955</v>
        <stp/>
        <stp>BDP|2537655855655936994|22</stp>
        <stp>NAYIFAT AB Equity</stp>
        <stp>RT_PX_CHG_PCT_1D</stp>
        <tr r="D121" s="2"/>
      </tp>
      <tp>
        <v>79</v>
        <stp/>
        <stp>BDP|17810158978644007339|22</stp>
        <stp>SFICO AB Equity</stp>
        <stp>BID</stp>
        <tr r="Q130" s="2"/>
      </tp>
      <tp>
        <v>78.3</v>
        <stp/>
        <stp>BDP|2157000977392706418|22</stp>
        <stp>LEEJAM AB Equity</stp>
        <stp>OPEN</stp>
        <tr r="K71" s="2"/>
      </tp>
      <tp>
        <v>-0.63950002193450928</v>
        <stp/>
        <stp>BDP|2261410829131743158|22</stp>
        <stp>LUBEREF AB Equity</stp>
        <stp>RT_PX_CHG_PCT_1D</stp>
        <tr r="D235" s="2"/>
      </tp>
      <tp>
        <v>10.39</v>
        <stp/>
        <stp>BDP|15202037041768470478|22</stp>
        <stp>SAICO AB Equity</stp>
        <stp>LOW</stp>
        <tr r="L186" s="2"/>
      </tp>
      <tp>
        <v>1.2510999441146851</v>
        <stp/>
        <stp>BDP|5036377527400972224|22</stp>
        <stp>TANMIAH AB Equity</stp>
        <stp>RT_PX_CHG_PCT_1D</stp>
        <tr r="D146" s="2"/>
      </tp>
      <tp>
        <v>0.86680001020431519</v>
        <stp/>
        <stp>BDP|2529824074748630401|22</stp>
        <stp>ALOMRAN AB Equity</stp>
        <stp>RT_PX_CHG_PCT_1D</stp>
        <tr r="D25" s="2"/>
      </tp>
      <tp>
        <v>5.9700001031160355E-2</v>
        <stp/>
        <stp>BDP|5528602928410050833|22</stp>
        <stp>JARIR AB Equity</stp>
        <stp>RT_PX_CHG_PCT_1D</stp>
        <tr r="D51" s="2"/>
      </tp>
      <tp>
        <v>26.7</v>
        <stp/>
        <stp>BDP|12319022507327507667|22</stp>
        <stp>SCERCO AB Equity</stp>
        <stp>BID</stp>
        <tr r="Q20" s="2"/>
      </tp>
      <tp>
        <v>23.74</v>
        <stp/>
        <stp>BDP|11704747756796807078|22</stp>
        <stp>REDSEA AB Equity</stp>
        <stp>LOW</stp>
        <tr r="L252" s="2"/>
      </tp>
      <tp>
        <v>42.36</v>
        <stp/>
        <stp>BDP|858550204911697227|22</stp>
        <stp>YAMAMAH AB Equity</stp>
        <stp>YEST_LAST_TRADE</stp>
        <tr r="G214" s="2"/>
      </tp>
      <tp>
        <v>0</v>
        <stp/>
        <stp>BDP|1920711878740115029|22</stp>
        <stp>SISCO AB Equity</stp>
        <stp>RT_PX_CHG_PCT_1D</stp>
        <tr r="D284" s="2"/>
      </tp>
      <tp>
        <v>0.66820001602172852</v>
        <stp/>
        <stp>BDP|4126939018864413159|22</stp>
        <stp>EACCO AB Equity</stp>
        <stp>RT_PX_CHG_PCT_1D</stp>
        <tr r="D213" s="2"/>
      </tp>
      <tp>
        <v>0.44440001249313354</v>
        <stp/>
        <stp>BDP|9952077799768692168|22</stp>
        <stp>NADEC AB Equity</stp>
        <stp>RT_PX_CHG_PCT_1D</stp>
        <tr r="D140" s="2"/>
      </tp>
      <tp>
        <v>65.886499999999998</v>
        <stp/>
        <stp>BDP|16090827840008121219|22</stp>
        <stp>RJHI AB Equity</stp>
        <stp>VWAP</stp>
        <tr r="N12" s="2"/>
      </tp>
      <tp>
        <v>45.26</v>
        <stp/>
        <stp>BDP|14805782130898512012|22</stp>
        <stp>SACO AB Equity</stp>
        <stp>OPEN</stp>
        <tr r="K45" s="2"/>
      </tp>
      <tp>
        <v>20.04</v>
        <stp/>
        <stp>BDP|12054290408575969532|22</stp>
        <stp>RIBL AB Equity</stp>
        <stp>OPEN</stp>
        <tr r="K9" s="2"/>
      </tp>
      <tp>
        <v>18.059999999999999</v>
        <stp/>
        <stp>BDP|6125513297954571719|22</stp>
        <stp>ALARKAN AB Equity</stp>
        <stp>ASK</stp>
        <tr r="R255" s="2"/>
      </tp>
      <tp>
        <v>13.33</v>
        <stp/>
        <stp>BDP|9472607548917647236|22</stp>
        <stp>GULFUNI AB Equity</stp>
        <stp>ASK</stp>
        <tr r="R190" s="2"/>
      </tp>
      <tp>
        <v>20.74</v>
        <stp/>
        <stp>BDP|7476012219860179027|22</stp>
        <stp>ARNB AB Equity</stp>
        <stp>LOW</stp>
        <tr r="L8" s="2"/>
      </tp>
      <tp>
        <v>-0.20450000464916229</v>
        <stp/>
        <stp>BDP|11589410093792185989|22</stp>
        <stp>BINDAWOO AB Equity</stp>
        <stp>RT_PX_CHG_PCT_1D</stp>
        <tr r="D80" s="2"/>
      </tp>
      <tp>
        <v>17.89</v>
        <stp/>
        <stp>BDP|6191780870756208950|22</stp>
        <stp>ADCO AB Equity</stp>
        <stp>BID</stp>
        <tr r="Q260" s="2"/>
      </tp>
      <tp>
        <v>2.0099999999999998</v>
        <stp/>
        <stp>BDP|6653733330047195324|22</stp>
        <stp>AATD AB Equity</stp>
        <stp>LOW</stp>
        <tr r="L76" s="2"/>
      </tp>
      <tp>
        <v>103.3</v>
        <stp/>
        <stp>BDP|8710073393730585007|22</stp>
        <stp>CARE AB Equity</stp>
        <stp>LOW</stp>
        <tr r="L158" s="2"/>
      </tp>
      <tp>
        <v>276371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34091</v>
        <stp/>
        <stp>BDP|13158356132775446603|22</stp>
        <stp>EQUIPMEN AB Equity</stp>
        <stp>VOLUME</stp>
        <tr r="J151" s="2"/>
      </tp>
      <tp>
        <v>25.4</v>
        <stp/>
        <stp>BDP|2833901258740211166|22</stp>
        <stp>UCIC AB Equity</stp>
        <stp>BID</stp>
        <tr r="Q194" s="2"/>
      </tp>
      <tp>
        <v>17.920000000000002</v>
        <stp/>
        <stp>BDP|9773194295058713433|22</stp>
        <stp>MEPC AB Equity</stp>
        <stp>ASK</stp>
        <tr r="R197" s="2"/>
      </tp>
      <tp>
        <v>83371</v>
        <stp/>
        <stp>BDP|10105365470658814808|22</stp>
        <stp>BUILDSTA AB Equity</stp>
        <stp>VOLUME</stp>
        <tr r="J44" s="2"/>
      </tp>
      <tp>
        <v>8.82</v>
        <stp/>
        <stp>BDP|12231393880952887274|22</stp>
        <stp>AMLAK AB Equity</stp>
        <stp>OPEN</stp>
        <tr r="K122" s="2"/>
      </tp>
      <tp>
        <v>0.1582999974489212</v>
        <stp/>
        <stp>BDP|7722272068852679321|22</stp>
        <stp>MARAFIQ AB Equity</stp>
        <stp>RT_PX_CHG_PCT_1D</stp>
        <tr r="D288" s="2"/>
      </tp>
      <tp>
        <v>4.2125000000000004</v>
        <stp/>
        <stp>BDP|11039301631944384117|22</stp>
        <stp>DERAYAHR AB Equity</stp>
        <stp>CHG_PCT_1M_RT</stp>
        <tr r="E104" s="2"/>
      </tp>
      <tp>
        <v>13.65</v>
        <stp/>
        <stp>BDP|16006321313743246649|22</stp>
        <stp>JAHEZ AB Equity</stp>
        <stp>BID</stp>
        <tr r="Q62" s="2"/>
      </tp>
      <tp>
        <v>0.81669998168945313</v>
        <stp/>
        <stp>BDP|2051567214272869218|22</stp>
        <stp>DERAYAH AB Equity</stp>
        <stp>RT_PX_CHG_PCT_1D</stp>
        <tr r="D116" s="2"/>
      </tp>
      <tp>
        <v>19.190000000000001</v>
        <stp/>
        <stp>BDP|16386183552079761402|22</stp>
        <stp>SOCCO AB Equity</stp>
        <stp>LOW</stp>
        <tr r="L200" s="2"/>
      </tp>
      <tp>
        <v>21.06</v>
        <stp/>
        <stp>BDP|13837789408719934716|22</stp>
        <stp>SEERA AB Equity</stp>
        <stp>LAST_PRICE</stp>
        <tr r="B74" s="2"/>
        <tr r="C74" s="2"/>
      </tp>
      <tp>
        <v>122.2</v>
        <stp/>
        <stp>BDP|10986090658515174836|22</stp>
        <stp>SAFCO AB Equity</stp>
        <stp>LOW</stp>
        <tr r="L238" s="2"/>
      </tp>
      <tp>
        <v>6.84</v>
        <stp/>
        <stp>BDP|12980004722916939127|22</stp>
        <stp>ALSAIF AB Equity</stp>
        <stp>ASK</stp>
        <tr r="R50" s="2"/>
      </tp>
      <tp>
        <v>10792.15</v>
        <stp/>
        <stp>BDP|11790492512110150875|22</stp>
        <stp>SASEIDX Index</stp>
        <stp>YEST_LAST_TRADE</stp>
        <tr r="G2" s="2"/>
      </tp>
      <tp>
        <v>35.72</v>
        <stp/>
        <stp>BDP|16408751121235461305|22</stp>
        <stp>ZOUJAJ AB Equity</stp>
        <stp>LOW</stp>
        <tr r="L220" s="2"/>
      </tp>
      <tp>
        <v>0.51020002365112305</v>
        <stp/>
        <stp>BDP|6957305396621096566|22</stp>
        <stp>TACCO AB Equity</stp>
        <stp>RT_PX_CHG_PCT_1D</stp>
        <tr r="D212" s="2"/>
      </tp>
      <tp>
        <v>-0.36210000514984131</v>
        <stp/>
        <stp>BDP|8181561286283860019|22</stp>
        <stp>SOCCO AB Equity</stp>
        <stp>RT_PX_CHG_PCT_1D</stp>
        <tr r="D200" s="2"/>
      </tp>
      <tp>
        <v>9.1018000000000008</v>
        <stp/>
        <stp>BDP|8789294266415113686|22</stp>
        <stp>NIC AB Equity</stp>
        <stp>VWAP</stp>
        <tr r="N224" s="2"/>
      </tp>
      <tp>
        <v>11.14</v>
        <stp/>
        <stp>BDP|16358678808736111843|22</stp>
        <stp>SAPTCO AB Equity</stp>
        <stp>LOW</stp>
        <tr r="L279" s="2"/>
      </tp>
      <tp>
        <v>60</v>
        <stp/>
        <stp>BDP|1373568574165562940|22</stp>
        <stp>EEC AB Equity</stp>
        <stp>OPEN</stp>
        <tr r="K274" s="2"/>
      </tp>
      <tp>
        <v>12</v>
        <stp/>
        <stp>BDP|5076231013426813899|22</stp>
        <stp>SHIELD AB Equity</stp>
        <stp>LAST_PRICE</stp>
        <tr r="C174" s="2"/>
        <tr r="B174" s="2"/>
      </tp>
      <tp>
        <v>35.665999999999997</v>
        <stp/>
        <stp>BDP|11554138996343546066|22</stp>
        <stp>UIHC AB Equity</stp>
        <stp>VWAP</stp>
        <tr r="N119" s="2"/>
      </tp>
      <tp>
        <v>14.29</v>
        <stp/>
        <stp>BDP|2474169509204403298|22</stp>
        <stp>CENOMI AB Equity</stp>
        <stp>YEST_LAST_TRADE</stp>
        <tr r="G49" s="2"/>
      </tp>
      <tp>
        <v>65.8</v>
        <stp/>
        <stp>BDP|17018083582850667889|22</stp>
        <stp>RJHI AB Equity</stp>
        <stp>OPEN</stp>
        <tr r="K12" s="2"/>
      </tp>
      <tp>
        <v>14.21</v>
        <stp/>
        <stp>BDP|12670816670212629689|22</stp>
        <stp>SAAC AB Equity</stp>
        <stp>OPEN</stp>
        <tr r="K17" s="2"/>
      </tp>
      <tp>
        <v>17.22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24</v>
        <stp/>
        <stp>BDP|10685323871266029546|22</stp>
        <stp>FPCO AB Equity</stp>
        <stp>HIGH</stp>
        <tr r="M147" s="2"/>
      </tp>
      <tp>
        <v>43.6</v>
        <stp/>
        <stp>BDP|3882820979870318389|22</stp>
        <stp>ALDAWAA AB Equity</stp>
        <stp>ASK</stp>
        <tr r="R81" s="2"/>
      </tp>
      <tp>
        <v>12.22</v>
        <stp/>
        <stp>BDP|2853742412975007477|22</stp>
        <stp>PETROR AB Equity</stp>
        <stp>LAST_PRICE</stp>
        <tr r="C89" s="2"/>
        <tr r="B89" s="2"/>
      </tp>
      <tp>
        <v>1176100</v>
        <stp/>
        <stp>BDP|874930326438447138|22</stp>
        <stp>NSCSA AB Equity</stp>
        <stp>VOLUME</stp>
        <tr r="J94" s="2"/>
      </tp>
      <tp>
        <v>-10.5472</v>
        <stp/>
        <stp>BDP|989389646400317393|22</stp>
        <stp>CITYC AB Equity</stp>
        <stp>CHG_PCT_YTD_RT</stp>
        <tr r="F223" s="2"/>
      </tp>
      <tp>
        <v>10819.47</v>
        <stp/>
        <stp>BDP|8669256654591951490|22</stp>
        <stp>SASEIDX Index</stp>
        <stp>HIGH</stp>
        <tr r="M2" s="2"/>
      </tp>
      <tp>
        <v>-0.42799999999999999</v>
        <stp/>
        <stp>BDP|11068090837553308659|22</stp>
        <stp>ALISADRF AB Equity</stp>
        <stp>CHG_PCT_YTD_RT</stp>
        <tr r="F109" s="2"/>
      </tp>
      <tp>
        <v>5</v>
        <stp/>
        <stp>BDP|6775703570241481704|22</stp>
        <stp>JOUF AB Equity</stp>
        <stp>LOW</stp>
        <tr r="L216" s="2"/>
      </tp>
      <tp>
        <v>30.4</v>
        <stp/>
        <stp>BDP|4408934621595292709|22</stp>
        <stp>MESC AB Equity</stp>
        <stp>BID</stp>
        <tr r="Q21" s="2"/>
      </tp>
      <tp>
        <v>14.72</v>
        <stp/>
        <stp>BDP|17024198457582688357|22</stp>
        <stp>HERFY AB Equity</stp>
        <stp>OPEN</stp>
        <tr r="K69" s="2"/>
      </tp>
      <tp>
        <v>2.6869999999999998</v>
        <stp/>
        <stp>BDP|12173336518988718947|22</stp>
        <stp>OASIS AB Equity</stp>
        <stp>VWAP</stp>
        <tr r="N207" s="2"/>
      </tp>
      <tp>
        <v>24.06</v>
        <stp/>
        <stp>BDP|2891362265245787444|22</stp>
        <stp>ALBI AB Equity</stp>
        <stp>LOW</stp>
        <tr r="L5" s="2"/>
      </tp>
      <tp>
        <v>30.38</v>
        <stp/>
        <stp>BDP|3841131725827509982|22</stp>
        <stp>MESC AB Equity</stp>
        <stp>LOW</stp>
        <tr r="L21" s="2"/>
      </tp>
      <tp>
        <v>12.81</v>
        <stp/>
        <stp>BDP|4367483310251132437|22</stp>
        <stp>GACO AB Equity</stp>
        <stp>LOW</stp>
        <tr r="L142" s="2"/>
      </tp>
      <tp>
        <v>1.7316000461578369</v>
        <stp/>
        <stp>BDP|14168206326465993533|22</stp>
        <stp>JAZTAKAF AB Equity</stp>
        <stp>RT_PX_CHG_PCT_1D</stp>
        <tr r="D178" s="2"/>
      </tp>
      <tp>
        <v>10.000299999999999</v>
        <stp/>
        <stp>BDP|10760960721563969581|22</stp>
        <stp>EMAAR AB Equity</stp>
        <stp>VWAP</stp>
        <tr r="N262" s="2"/>
      </tp>
      <tp>
        <v>122.5</v>
        <stp/>
        <stp>BDP|16042748053856293401|22</stp>
        <stp>SAFCO AB Equity</stp>
        <stp>OPEN</stp>
        <tr r="K238" s="2"/>
      </tp>
      <tp>
        <v>-0.75679999589920044</v>
        <stp/>
        <stp>BDP|15520108151332344247|22</stp>
        <stp>FAKEEHCA AB Equity</stp>
        <stp>RT_PX_CHG_PCT_1D</stp>
        <tr r="D157" s="2"/>
      </tp>
      <tp>
        <v>7.84</v>
        <stp/>
        <stp>BDP|12309023914141391446|22</stp>
        <stp>TACCO AB Equity</stp>
        <stp>OPEN</stp>
        <tr r="K212" s="2"/>
      </tp>
      <tp>
        <v>27.073499999999999</v>
        <stp/>
        <stp>BDP|12054899270949320516|22</stp>
        <stp>EACCO AB Equity</stp>
        <stp>VWAP</stp>
        <tr r="N213" s="2"/>
      </tp>
      <tp>
        <v>0</v>
        <stp/>
        <stp>BDP|5363688004027189129|22</stp>
        <stp>SPPC AB Equity</stp>
        <stp>CHG_PCT_1M_RT</stp>
        <tr r="E40" s="2"/>
      </tp>
      <tp>
        <v>13.11</v>
        <stp/>
        <stp>BDP|5138223023800646192|22</stp>
        <stp>GACO AB Equity</stp>
        <stp>ASK</stp>
        <tr r="R142" s="2"/>
      </tp>
      <tp>
        <v>0</v>
        <stp/>
        <stp>BDP|6676123980972602340|22</stp>
        <stp>ALRAJHI AB Equity</stp>
        <stp>RT_PX_CHG_PCT_1D</stp>
        <tr r="D98" s="2"/>
      </tp>
      <tp>
        <v>23.3</v>
        <stp/>
        <stp>BDP|15682626103756017677|22</stp>
        <stp>THEEB AB Equity</stp>
        <stp>ASK</stp>
        <tr r="R286" s="2"/>
      </tp>
      <tp>
        <v>29.48</v>
        <stp/>
        <stp>BDP|3442454757277133595|22</stp>
        <stp>YANSAB AB Equity</stp>
        <stp>VWAP</stp>
        <tr r="N205" s="2"/>
      </tp>
      <tp>
        <v>-8.6</v>
        <stp/>
        <stp>BDP|16165453046078904027|22</stp>
        <stp>MBCGROUP AB Equity</stp>
        <stp>CHG_PCT_1M_RT</stp>
        <tr r="E243" s="2"/>
      </tp>
      <tp>
        <v>36.18</v>
        <stp/>
        <stp>BDP|2749886426098297159|22</stp>
        <stp>THIMAR AB Equity</stp>
        <stp>OPEN</stp>
        <tr r="K83" s="2"/>
      </tp>
      <tp>
        <v>2.35</v>
        <stp/>
        <stp>BDP|11694070385929913365|22</stp>
        <stp>SIECO AB Equity</stp>
        <stp>LOW</stp>
        <tr r="L29" s="2"/>
      </tp>
      <tp>
        <v>6.4187000000000003</v>
        <stp/>
        <stp>BDP|3140653274288602372|22</stp>
        <stp>ALAHLI AB Equity</stp>
        <stp>VWAP</stp>
        <tr r="N107" s="2"/>
      </tp>
      <tp>
        <v>108.7</v>
        <stp/>
        <stp>BDP|16232673889103768172|22</stp>
        <stp>DALLAH AB Equity</stp>
        <stp>LOW</stp>
        <tr r="L160" s="2"/>
      </tp>
      <tp>
        <v>118.4</v>
        <stp/>
        <stp>BDP|507300377653017245|22</stp>
        <stp>ALMOOSA AB Equity</stp>
        <stp>YEST_LAST_TRADE</stp>
        <tr r="G155" s="2"/>
      </tp>
      <tp>
        <v>23.95</v>
        <stp/>
        <stp>BDP|18036147914257651669|22</stp>
        <stp>REDSEA AB Equity</stp>
        <stp>BID</stp>
        <tr r="Q252" s="2"/>
      </tp>
      <tp>
        <v>59.1</v>
        <stp/>
        <stp>BDP|15850701448291318587|22</stp>
        <stp>MAADEN AB Equity</stp>
        <stp>BID</stp>
        <tr r="Q210" s="2"/>
      </tp>
      <tp>
        <v>-3.18</v>
        <stp/>
        <stp>BDP|10284680757853617794|22</stp>
        <stp>SIPCHEM AB Equity</stp>
        <stp>CHG_PCT_1M_RT</stp>
        <tr r="E236" s="2"/>
      </tp>
      <tp>
        <v>24.18</v>
        <stp/>
        <stp>BDP|240736181858795294|22</stp>
        <stp>ENTAJ AB Equity</stp>
        <stp>LOW</stp>
        <tr r="L129" s="2"/>
      </tp>
      <tp>
        <v>11.23</v>
        <stp/>
        <stp>BDP|15375946837359677545|22</stp>
        <stp>SAPTCO AB Equity</stp>
        <stp>BID</stp>
        <tr r="Q279" s="2"/>
      </tp>
      <tp>
        <v>5.12</v>
        <stp/>
        <stp>BDP|8725293027367161931|22</stp>
        <stp>TAKWEEN AB Equity</stp>
        <stp>ASK</stp>
        <tr r="R218" s="2"/>
      </tp>
      <tp>
        <v>36.04</v>
        <stp/>
        <stp>BDP|3795863019216454722|22</stp>
        <stp>ZOUJAJ AB Equity</stp>
        <stp>LAST_PRICE</stp>
        <tr r="C220" s="2"/>
        <tr r="B220" s="2"/>
      </tp>
      <tp>
        <v>5.04</v>
        <stp/>
        <stp>BDP|2839004149232475389|22</stp>
        <stp>MAHARAH AB Equity</stp>
        <stp>BID</stp>
        <tr r="Q34" s="2"/>
      </tp>
      <tp>
        <v>55.85</v>
        <stp/>
        <stp>BDP|1217150066100404307|22</stp>
        <stp>TANMIAH AB Equity</stp>
        <stp>LOW</stp>
        <tr r="L146" s="2"/>
      </tp>
      <tp>
        <v>6.83</v>
        <stp/>
        <stp>BDP|3764393888289364121|22</stp>
        <stp>ALSAIF AB Equity</stp>
        <stp>YEST_LAST_TRADE</stp>
        <tr r="G50" s="2"/>
      </tp>
      <tp>
        <v>16.739999999999998</v>
        <stp/>
        <stp>BDP|18440044383522413501|22</stp>
        <stp>JARIR AB Equity</stp>
        <stp>OPEN</stp>
        <tr r="K51" s="2"/>
      </tp>
      <tp>
        <v>13.42</v>
        <stp/>
        <stp>BDP|3256599318384553879|22</stp>
        <stp>SIBC AB Equity</stp>
        <stp>ASK</stp>
        <tr r="R11" s="2"/>
      </tp>
      <tp>
        <v>103.6</v>
        <stp/>
        <stp>BDP|7291756788947607600|22</stp>
        <stp>CARE AB Equity</stp>
        <stp>BID</stp>
        <tr r="Q158" s="2"/>
      </tp>
      <tp>
        <v>33.840000000000003</v>
        <stp/>
        <stp>BDP|8565540043169787821|22</stp>
        <stp>ZIIC AB Equity</stp>
        <stp>LOW</stp>
        <tr r="L221" s="2"/>
      </tp>
      <tp>
        <v>17.48</v>
        <stp/>
        <stp>BDP|925962120744271571|22</stp>
        <stp>SIDC AB Equity</stp>
        <stp>HIGH</stp>
        <tr r="M56" s="2"/>
      </tp>
      <tp>
        <v>7.0702999999999996</v>
        <stp/>
        <stp>BDP|13591354480198868060|22</stp>
        <stp>TAACO AB Equity</stp>
        <stp>VWAP</stp>
        <tr r="N141" s="2"/>
      </tp>
      <tp>
        <v>21.06</v>
        <stp/>
        <stp>BDP|16392979601794269718|22</stp>
        <stp>SEERA AB Equity</stp>
        <stp>ASK</stp>
        <tr r="R74" s="2"/>
      </tp>
      <tp>
        <v>10.449400000000001</v>
        <stp/>
        <stp>BDP|18201450936298692884|22</stp>
        <stp>ALMAWARI AB Equity</stp>
        <stp>CHG_PCT_1M_RT</stp>
        <tr r="E38" s="2"/>
      </tp>
      <tp>
        <v>72.3</v>
        <stp/>
        <stp>BDP|18334710341870705421|22</stp>
        <stp>EXTRA AB Equity</stp>
        <stp>LAST_PRICE</stp>
        <tr r="C52" s="2"/>
        <tr r="B52" s="2"/>
      </tp>
      <tp>
        <v>4.75</v>
        <stp/>
        <stp>BDP|330327723265361274|22</stp>
        <stp>JARIR AB Equity</stp>
        <stp>CHG_PCT_1M_RT</stp>
        <tr r="E51" s="2"/>
      </tp>
      <tp>
        <v>11.98</v>
        <stp/>
        <stp>BDP|12986784076965745154|22</stp>
        <stp>RETAL AB Equity</stp>
        <stp>LOW</stp>
        <tr r="L250" s="2"/>
      </tp>
      <tp>
        <v>6.43</v>
        <stp/>
        <stp>BDP|10294968645813524741|22</stp>
        <stp>ALAHLI AB Equity</stp>
        <stp>BID</stp>
        <tr r="Q107" s="2"/>
      </tp>
      <tp>
        <v>11.24</v>
        <stp/>
        <stp>BDP|11944760017176395057|22</stp>
        <stp>SAPTCO AB Equity</stp>
        <stp>ASK</stp>
        <tr r="R279" s="2"/>
      </tp>
      <tp>
        <v>6.4</v>
        <stp/>
        <stp>BDP|16254355830541455002|22</stp>
        <stp>ALAHLI AB Equity</stp>
        <stp>LOW</stp>
        <tr r="L107" s="2"/>
      </tp>
      <tp>
        <v>55.8</v>
        <stp/>
        <stp>BDP|4040214217761599504|22</stp>
        <stp>SPM AB Equity</stp>
        <stp>OPEN</stp>
        <tr r="K215" s="2"/>
      </tp>
      <tp>
        <v>4.2568001747131348</v>
        <stp/>
        <stp>BDP|1140673457545212916|22</stp>
        <stp>HERFY AB Equity</stp>
        <stp>RT_PX_CHG_PCT_1D</stp>
        <tr r="D69" s="2"/>
      </tp>
      <tp>
        <v>1.320099949836731</v>
        <stp/>
        <stp>BDP|4993657532492153985|22</stp>
        <stp>BANAN AB Equity</stp>
        <stp>RT_PX_CHG_PCT_1D</stp>
        <tr r="D256" s="2"/>
      </tp>
      <tp>
        <v>1.104200005531311</v>
        <stp/>
        <stp>BDP|8162706878915698307|22</stp>
        <stp>SEERA AB Equity</stp>
        <stp>RT_PX_CHG_PCT_1D</stp>
        <tr r="D74" s="2"/>
      </tp>
      <tp>
        <v>23.8</v>
        <stp/>
        <stp>BDP|3544859681882796726|22</stp>
        <stp>BCI AB Equity</stp>
        <stp>OPEN</stp>
        <tr r="K201" s="2"/>
      </tp>
      <tp t="s">
        <v>#N/A Requesting Data...3443982630</v>
        <stp/>
        <stp>BDP|7596604869161924</stp>
        <tr r="U284" s="2"/>
      </tp>
      <tp>
        <v>0.97879999876022339</v>
        <stp/>
        <stp>BDP|3017867410528324857|22</stp>
        <stp>SAFCO AB Equity</stp>
        <stp>RT_PX_CHG_PCT_1D</stp>
        <tr r="D238" s="2"/>
      </tp>
      <tp>
        <v>70.900000000000006</v>
        <stp/>
        <stp>BDP|10920208037394451461|22</stp>
        <stp>NGIC AB Equity</stp>
        <stp>HIGH</stp>
        <tr r="M293" s="2"/>
      </tp>
      <tp>
        <v>3.51</v>
        <stp/>
        <stp>BDP|8448209381230332449|22</stp>
        <stp>ARABSEA AB Equity</stp>
        <stp>LOW</stp>
        <tr r="L272" s="2"/>
      </tp>
      <tp>
        <v>50</v>
        <stp/>
        <stp>BDP|4141188837912030633|22</stp>
        <stp>SSP AB Equity</stp>
        <stp>YEST_LAST_TRADE</stp>
        <tr r="G193" s="2"/>
      </tp>
      <tp>
        <v>41.18</v>
        <stp/>
        <stp>BDP|4124155350145724341|22</stp>
        <stp>YAMAMAH AB Equity</stp>
        <stp>LOW</stp>
        <tr r="L214" s="2"/>
      </tp>
      <tp>
        <v>25.22</v>
        <stp/>
        <stp>BDP|1187359531815629359|22</stp>
        <stp>OBEKAN AB Equity</stp>
        <stp>YEST_LAST_TRADE</stp>
        <tr r="G24" s="2"/>
      </tp>
      <tp>
        <v>22.93</v>
        <stp/>
        <stp>BDP|9401948128384324632|22</stp>
        <stp>SAWCEM AB Equity</stp>
        <stp>LAST_PRICE</stp>
        <tr r="B204" s="2"/>
        <tr r="C204" s="2"/>
      </tp>
      <tp>
        <v>20</v>
        <stp/>
        <stp>BDP|12776327410189956619|22</stp>
        <stp>SVCP AB Equity</stp>
        <stp>OPEN</stp>
        <tr r="K202" s="2"/>
      </tp>
      <tp>
        <v>13.42</v>
        <stp/>
        <stp>BDP|13412288011309600026|22</stp>
        <stp>SIBC AB Equity</stp>
        <stp>LAST_PRICE</stp>
        <tr r="C11" s="2"/>
        <tr r="B11" s="2"/>
      </tp>
      <tp>
        <v>13.88</v>
        <stp/>
        <stp>BDP|12774789183393240565|22</stp>
        <stp>UACC AB Equity</stp>
        <stp>LAST_PRICE</stp>
        <tr r="B206" s="2"/>
        <tr r="C206" s="2"/>
      </tp>
      <tp>
        <v>5.26</v>
        <stp/>
        <stp>BDP|17951417303722696016|22</stp>
        <stp>KAYAN AB Equity</stp>
        <stp>HIGH</stp>
        <tr r="M198" s="2"/>
      </tp>
      <tp>
        <v>8.3681999999999999</v>
        <stp/>
        <stp>BDP|2496905565375913001|22</stp>
        <stp>NCLE AB Equity</stp>
        <stp>CHG_PCT_1M_RT</stp>
        <tr r="E65" s="2"/>
      </tp>
      <tp>
        <v>6.6967999999999996</v>
        <stp/>
        <stp>BDP|6182843794105733894|22</stp>
        <stp>SAGR AB Equity</stp>
        <stp>CHG_PCT_1M_RT</stp>
        <tr r="E184" s="2"/>
      </tp>
      <tp>
        <v>130.96080000000001</v>
        <stp/>
        <stp>BDP|17271577266140839956|22</stp>
        <stp>ASTRA AB Equity</stp>
        <stp>VWAP</stp>
        <tr r="N27" s="2"/>
      </tp>
      <tp>
        <v>-5.3296000000000001</v>
        <stp/>
        <stp>BDP|7009477115340836572|22</stp>
        <stp>ALCO AB Equity</stp>
        <stp>CHG_PCT_1M_RT</stp>
        <tr r="E237" s="2"/>
      </tp>
      <tp>
        <v>15.96</v>
        <stp/>
        <stp>BDP|14372951490821745445|22</stp>
        <stp>NADEC AB Equity</stp>
        <stp>HIGH</stp>
        <tr r="M140" s="2"/>
      </tp>
      <tp>
        <v>21.23</v>
        <stp/>
        <stp>BDP|11740155314913141710|22</stp>
        <stp>SEERA AB Equity</stp>
        <stp>HIGH</stp>
        <tr r="M74" s="2"/>
      </tp>
      <tp>
        <v>18.22</v>
        <stp/>
        <stp>BDP|396104605771927482|22</stp>
        <stp>MEPC AB Equity</stp>
        <stp>HIGH</stp>
        <tr r="M197" s="2"/>
      </tp>
      <tp>
        <v>43.9</v>
        <stp/>
        <stp>BDP|17757701247290642616|22</stp>
        <stp>JADCO AB Equity</stp>
        <stp>LAST_PRICE</stp>
        <tr r="B145" s="2"/>
        <tr r="C145" s="2"/>
      </tp>
      <tp>
        <v>-21.5642</v>
        <stp/>
        <stp>BDP|842092374187312931|22</stp>
        <stp>NICEONE AB Equity</stp>
        <stp>CHG_PCT_YTD_RT</stp>
        <tr r="F42" s="2"/>
      </tp>
      <tp>
        <v>12.42</v>
        <stp/>
        <stp>BDP|11402352483953935580|22</stp>
        <stp>ANAAM AB Equity</stp>
        <stp>BID</stp>
        <tr r="Q84" s="2"/>
      </tp>
      <tp>
        <v>32.1</v>
        <stp/>
        <stp>BDP|15832852992407858950|22</stp>
        <stp>FIPCO AB Equity</stp>
        <stp>BID</stp>
        <tr r="Q232" s="2"/>
      </tp>
      <tp>
        <v>2.2200000000000002</v>
        <stp/>
        <stp>BDP|15164167176668366107|22</stp>
        <stp>BATIC AB Equity</stp>
        <stp>LOW</stp>
        <tr r="L26" s="2"/>
      </tp>
      <tp>
        <v>28.96</v>
        <stp/>
        <stp>BDP|5633383734631134840|22</stp>
        <stp>SAVOLA AB Equity</stp>
        <stp>OPEN</stp>
        <tr r="K143" s="2"/>
      </tp>
      <tp>
        <v>39.94</v>
        <stp/>
        <stp>BDP|17188506592512936789|22</stp>
        <stp>ALAMAR AB Equity</stp>
        <stp>ASK</stp>
        <tr r="R77" s="2"/>
      </tp>
      <tp>
        <v>19.440000000000001</v>
        <stp/>
        <stp>BDP|1228557866266135718|22</stp>
        <stp>BSF AB Equity</stp>
        <stp>HIGH</stp>
        <tr r="M10" s="2"/>
      </tp>
      <tp>
        <v>0</v>
        <stp/>
        <stp>BDP|7700461464794400653|22</stp>
        <stp>NSCSA AB Equity</stp>
        <stp>RT_PX_CHG_PCT_1D</stp>
        <tr r="D94" s="2"/>
      </tp>
      <tp>
        <v>9.2200000000000006</v>
        <stp/>
        <stp>BDP|7399753502472270275|22</stp>
        <stp>NIC AB Equity</stp>
        <stp>HIGH</stp>
        <tr r="M224" s="2"/>
      </tp>
      <tp>
        <v>98.05</v>
        <stp/>
        <stp>BDP|8203308254854377011|22</stp>
        <stp>DWF AB Equity</stp>
        <stp>YEST_LAST_TRADE</stp>
        <tr r="G70" s="2"/>
      </tp>
      <tp>
        <v>32.9</v>
        <stp/>
        <stp>BDP|14870630136983523460|22</stp>
        <stp>SABB AB Equity</stp>
        <stp>HIGH</stp>
        <tr r="M7" s="2"/>
      </tp>
      <tp>
        <v>-5.6948999999999996</v>
        <stp/>
        <stp>BDP|9222000812328725724|22</stp>
        <stp>SHAKER AB Equity</stp>
        <stp>CHG_PCT_1M_RT</stp>
        <tr r="E18" s="2"/>
      </tp>
      <tp>
        <v>2.29</v>
        <stp/>
        <stp>BDP|8373247027928316217|22</stp>
        <stp>ABDICO AB Equity</stp>
        <stp>LAST_PRICE</stp>
        <tr r="C123" s="2"/>
        <tr r="B123" s="2"/>
      </tp>
      <tp>
        <v>14.37</v>
        <stp/>
        <stp>BDP|2521062948833427229|22</stp>
        <stp>SIPCHEM AB Equity</stp>
        <stp>ASK</stp>
        <tr r="R236" s="2"/>
      </tp>
      <tp>
        <v>3.8399000000000001</v>
        <stp/>
        <stp>BDP|5809329534158382445|22</stp>
        <stp>UCIC AB Equity</stp>
        <stp>CHG_PCT_1M_RT</stp>
        <tr r="E194" s="2"/>
      </tp>
      <tp>
        <v>2.3599000000000001</v>
        <stp/>
        <stp>BDP|3965069546978917425|22</stp>
        <stp>UACC AB Equity</stp>
        <stp>CHG_PCT_1M_RT</stp>
        <tr r="E206" s="2"/>
      </tp>
      <tp>
        <v>-14.572900000000001</v>
        <stp/>
        <stp>BDP|11040409703068205897|22</stp>
        <stp>ALETIHAD AB Equity</stp>
        <stp>CHG_PCT_YTD_RT</stp>
        <tr r="F180" s="2"/>
      </tp>
      <tp>
        <v>2.72</v>
        <stp/>
        <stp>BDP|12640606030231201602|22</stp>
        <stp>OASIS AB Equity</stp>
        <stp>HIGH</stp>
        <tr r="M207" s="2"/>
      </tp>
      <tp>
        <v>110.5</v>
        <stp/>
        <stp>BDP|8337504874907816436|22</stp>
        <stp>AWPT AB Equity</stp>
        <stp>BID</stp>
        <tr r="Q290" s="2"/>
      </tp>
      <tp>
        <v>7.6294000000000004</v>
        <stp/>
        <stp>BDP|7380797374199200378|22</stp>
        <stp>GGCI AB Equity</stp>
        <stp>CHG_PCT_1M_RT</stp>
        <tr r="E187" s="2"/>
      </tp>
      <tp>
        <v>1.3624000000000001</v>
        <stp/>
        <stp>BDP|8075717832447830057|22</stp>
        <stp>AADC AB Equity</stp>
        <stp>CHG_PCT_1M_RT</stp>
        <tr r="E128" s="2"/>
      </tp>
      <tp>
        <v>385842</v>
        <stp/>
        <stp>BDP|17549263634133283540|22</stp>
        <stp>SMCHEALT AB Equity</stp>
        <stp>VOLUME</stp>
        <tr r="J150" s="2"/>
      </tp>
      <tp>
        <v>-28.1873</v>
        <stp/>
        <stp>BDP|17702047017743585593|22</stp>
        <stp>ALMAJDIA AB Equity</stp>
        <stp>CHG_PCT_YTD_RT</stp>
        <tr r="F261" s="2"/>
      </tp>
      <tp>
        <v>-17.509699999999999</v>
        <stp/>
        <stp>BDP|18394739575672764435|22</stp>
        <stp>SULAIMAN AB Equity</stp>
        <stp>CHG_PCT_YTD_RT</stp>
        <tr r="F153" s="2"/>
      </tp>
      <tp>
        <v>3.09</v>
        <stp/>
        <stp>BDP|13823479149850837311|22</stp>
        <stp>BANAN AB Equity</stp>
        <stp>HIGH</stp>
        <tr r="M256" s="2"/>
      </tp>
      <tp>
        <v>18.7</v>
        <stp/>
        <stp>BDP|9894555894656988251|22</stp>
        <stp>SVCP AB Equity</stp>
        <stp>LOW</stp>
        <tr r="L202" s="2"/>
      </tp>
      <tp>
        <v>110.6</v>
        <stp/>
        <stp>BDP|2615046889976736197|22</stp>
        <stp>AWPT AB Equity</stp>
        <stp>ASK</stp>
        <tr r="R290" s="2"/>
      </tp>
      <tp>
        <v>24.6</v>
        <stp/>
        <stp>BDP|14320995987693897289|22</stp>
        <stp>ENTAJ AB Equity</stp>
        <stp>ASK</stp>
        <tr r="R129" s="2"/>
      </tp>
      <tp>
        <v>44.9</v>
        <stp/>
        <stp>BDP|13331748114971911916|22</stp>
        <stp>QACCO AB Equity</stp>
        <stp>LAST_PRICE</stp>
        <tr r="C225" s="2"/>
        <tr r="B225" s="2"/>
      </tp>
      <tp>
        <v>15.62</v>
        <stp/>
        <stp>BDP|14911548611820547980|22</stp>
        <stp>SRECO AB Equity</stp>
        <stp>LAST_PRICE</stp>
        <tr r="C254" s="2"/>
        <tr r="B254" s="2"/>
      </tp>
      <tp>
        <v>11.25</v>
        <stp/>
        <stp>BDP|12981915081607144790|22</stp>
        <stp>CITYC AB Equity</stp>
        <stp>LOW</stp>
        <tr r="L223" s="2"/>
      </tp>
      <tp>
        <v>8.82</v>
        <stp/>
        <stp>BDP|10077792210137477342|22</stp>
        <stp>AMLAK AB Equity</stp>
        <stp>BID</stp>
        <tr r="Q122" s="2"/>
      </tp>
      <tp>
        <v>12.1</v>
        <stp/>
        <stp>BDP|5546685843589193470|22</stp>
        <stp>SHIELD AB Equity</stp>
        <stp>HIGH</stp>
        <tr r="M174" s="2"/>
      </tp>
      <tp>
        <v>-0.72729999999999995</v>
        <stp/>
        <stp>BDP|15877545058306189041|22</stp>
        <stp>ALRAJHI AB Equity</stp>
        <stp>CHG_PCT_1M_RT</stp>
        <tr r="E98" s="2"/>
      </tp>
      <tp>
        <v>-0.84599999999999997</v>
        <stp/>
        <stp>BDP|16517791491336985419|22</stp>
        <stp>AOTHAIM AB Equity</stp>
        <stp>CHG_PCT_1M_RT</stp>
        <tr r="E82" s="2"/>
      </tp>
      <tp>
        <v>10.65</v>
        <stp/>
        <stp>BDP|599224519140018348|22</stp>
        <stp>SAICO AB Equity</stp>
        <stp>ASK</stp>
        <tr r="R186" s="2"/>
      </tp>
      <tp>
        <v>21.28</v>
        <stp/>
        <stp>BDP|4545449392442426999|22</stp>
        <stp>AZM AB Equity</stp>
        <stp>YEST_LAST_TRADE</stp>
        <tr r="G271" s="2"/>
      </tp>
      <tp>
        <v>14.785299999999999</v>
        <stp/>
        <stp>BDP|11090743504197524184|22</stp>
        <stp>NGCO AB Equity</stp>
        <stp>VWAP</stp>
        <tr r="N199" s="2"/>
      </tp>
      <tp>
        <v>14.97</v>
        <stp/>
        <stp>BDP|9309581698585990250|22</stp>
        <stp>SHL AB Equity</stp>
        <stp>YEST_LAST_TRADE</stp>
        <tr r="G118" s="2"/>
      </tp>
      <tp>
        <v>71.1768</v>
        <stp/>
        <stp>BDP|16385628892938229305|22</stp>
        <stp>AMAK AB Equity</stp>
        <stp>VWAP</stp>
        <tr r="N196" s="2"/>
      </tp>
      <tp>
        <v>177.1</v>
        <stp/>
        <stp>BDP|13011445214151505382|22</stp>
        <stp>BUPA AB Equity</stp>
        <stp>OPEN</stp>
        <tr r="K188" s="2"/>
      </tp>
      <tp>
        <v>12.09</v>
        <stp/>
        <stp>BDP|1308093500195895754|22</stp>
        <stp>ALLIANZ AB Equity</stp>
        <stp>ASK</stp>
        <tr r="R175" s="2"/>
      </tp>
      <tp>
        <v>4.5774999999999997</v>
        <stp/>
        <stp>BDP|1837628433719926339|22</stp>
        <stp>NGCO AB Equity</stp>
        <stp>CHG_PCT_1M_RT</stp>
        <tr r="E199" s="2"/>
      </tp>
      <tp>
        <v>95934</v>
        <stp/>
        <stp>BDP|13136883314914552624|22</stp>
        <stp>ALMUNAJE AB Equity</stp>
        <stp>VOLUME</stp>
        <tr r="J87" s="2"/>
      </tp>
      <tp>
        <v>-2.4498000000000002</v>
        <stp/>
        <stp>BDP|6834990425014050937|22</stp>
        <stp>RIBL AB Equity</stp>
        <stp>CHG_PCT_1M_RT</stp>
        <tr r="E9" s="2"/>
      </tp>
      <tp>
        <v>-0.83799999952316284</v>
        <stp/>
        <stp>BDP|10869147430960591273|22</stp>
        <stp>RESEARCH AB Equity</stp>
        <stp>RT_PX_CHG_PCT_1D</stp>
        <tr r="D242" s="2"/>
      </tp>
      <tp>
        <v>11.16</v>
        <stp/>
        <stp>BDP|16097621853947862545|22</stp>
        <stp>AADC AB Equity</stp>
        <stp>LAST_PRICE</stp>
        <tr r="C128" s="2"/>
        <tr r="B128" s="2"/>
      </tp>
      <tp>
        <v>14.306100000000001</v>
        <stp/>
        <stp>BDP|716348213511627055|22</stp>
        <stp>SAAC AB Equity</stp>
        <stp>VWAP</stp>
        <tr r="N17" s="2"/>
      </tp>
      <tp>
        <v>12.62</v>
        <stp/>
        <stp>BDP|10877778537539161148|22</stp>
        <stp>ANAAM AB Equity</stp>
        <stp>HIGH</stp>
        <tr r="M84" s="2"/>
      </tp>
      <tp>
        <v>27.44</v>
        <stp/>
        <stp>BDP|12732506854720198180|22</stp>
        <stp>EACCO AB Equity</stp>
        <stp>HIGH</stp>
        <tr r="M213" s="2"/>
      </tp>
      <tp>
        <v>52.329700000000003</v>
        <stp/>
        <stp>BDP|10569673678076266957|22</stp>
        <stp>ARCCI AB Equity</stp>
        <stp>VWAP</stp>
        <tr r="N166" s="2"/>
      </tp>
      <tp>
        <v>19.447099999999999</v>
        <stp/>
        <stp>BDP|8104281224498162047|22</stp>
        <stp>LIVA AB Equity</stp>
        <stp>CHG_PCT_1M_RT</stp>
        <tr r="E173" s="2"/>
      </tp>
      <tp>
        <v>3.35</v>
        <stp/>
        <stp>BDP|709840896670864834|22</stp>
        <stp>UCA AB Equity</stp>
        <stp>LAST_PRICE</stp>
        <tr r="B181" s="2"/>
        <tr r="C181" s="2"/>
      </tp>
      <tp>
        <v>180.1</v>
        <stp/>
        <stp>BDP|705177774904493963|22</stp>
        <stp>SAL AB Equity</stp>
        <stp>LAST_PRICE</stp>
        <tr r="C282" s="2"/>
        <tr r="B282" s="2"/>
      </tp>
      <tp>
        <v>31.9</v>
        <stp/>
        <stp>BDP|16532130799304341377|22</stp>
        <stp>NSCSA AB Equity</stp>
        <stp>ASK</stp>
        <tr r="R94" s="2"/>
      </tp>
      <tp>
        <v>3.02</v>
        <stp/>
        <stp>BDP|11959208370355395786|22</stp>
        <stp>BANAN AB Equity</stp>
        <stp>LOW</stp>
        <tr r="L256" s="2"/>
      </tp>
      <tp>
        <v>8.6</v>
        <stp/>
        <stp>BDP|3954059642277121501|22</stp>
        <stp>ATTMCO AB Equity</stp>
        <stp>OPEN</stp>
        <tr r="K131" s="2"/>
      </tp>
      <tp>
        <v>71.349999999999994</v>
        <stp/>
        <stp>BDP|10863741337348865678|22</stp>
        <stp>RAOOM AB Equity</stp>
        <stp>LAST_PRICE</stp>
        <tr r="C19" s="2"/>
        <tr r="B19" s="2"/>
      </tp>
      <tp>
        <v>10.98</v>
        <stp/>
        <stp>BDP|17816565548710160925|22</stp>
        <stp>ENAYA AB Equity</stp>
        <stp>LOW</stp>
        <tr r="L179" s="2"/>
      </tp>
      <tp>
        <v>15.16</v>
        <stp/>
        <stp>BDP|8697766281474118426|22</stp>
        <stp>RAYDAN AB Equity</stp>
        <stp>OPEN</stp>
        <tr r="K73" s="2"/>
      </tp>
      <tp>
        <v>23.96</v>
        <stp/>
        <stp>BDP|13638738470831743254|22</stp>
        <stp>CHERRY AB Equity</stp>
        <stp>BID</stp>
        <tr r="Q53" s="2"/>
      </tp>
      <tp>
        <v>23.97</v>
        <stp/>
        <stp>BDP|16528917754259740021|22</stp>
        <stp>CHERRY AB Equity</stp>
        <stp>ASK</stp>
        <tr r="R53" s="2"/>
      </tp>
      <tp>
        <v>21.88</v>
        <stp/>
        <stp>BDP|8053123681740685801|22</stp>
        <stp>DERAYAH AB Equity</stp>
        <stp>LOW</stp>
        <tr r="L116" s="2"/>
      </tp>
      <tp>
        <v>24.212599999999998</v>
        <stp/>
        <stp>BDP|13411286166430007419|22</stp>
        <stp>ALBI AB Equity</stp>
        <stp>VWAP</stp>
        <tr r="N5" s="2"/>
      </tp>
      <tp>
        <v>-2.5329999999999999</v>
        <stp/>
        <stp>BDP|8345730898090301947|22</stp>
        <stp>ATTMCO AB Equity</stp>
        <stp>CHG_PCT_1M_RT</stp>
        <tr r="E131" s="2"/>
      </tp>
      <tp>
        <v>23.98</v>
        <stp/>
        <stp>BDP|15425827739189329913|22</stp>
        <stp>APPC AB Equity</stp>
        <stp>OPEN</stp>
        <tr r="K233" s="2"/>
      </tp>
      <tp>
        <v>12.14</v>
        <stp/>
        <stp>BDP|7796711257964548051|22</stp>
        <stp>PETROR AB Equity</stp>
        <stp>YEST_LAST_TRADE</stp>
        <tr r="G89" s="2"/>
      </tp>
      <tp>
        <v>32.36</v>
        <stp/>
        <stp>BDP|12204149531641900742|22</stp>
        <stp>SABB AB Equity</stp>
        <stp>LAST_PRICE</stp>
        <tr r="B7" s="2"/>
        <tr r="C7" s="2"/>
      </tp>
      <tp>
        <v>58596</v>
        <stp/>
        <stp>BDP|16631772704143243367|22</stp>
        <stp>ALANDALU AB Equity</stp>
        <stp>VOLUME</stp>
        <tr r="J258" s="2"/>
      </tp>
      <tp>
        <v>577883</v>
        <stp/>
        <stp>BDP|14965808665831449550|22</stp>
        <stp>JADWAREI AB Equity</stp>
        <stp>VOLUME</stp>
        <tr r="J105" s="2"/>
      </tp>
      <tp>
        <v>5.1007999999999996</v>
        <stp/>
        <stp>BDP|8890455490123388750|22</stp>
        <stp>AICC AB Equity</stp>
        <stp>CHG_PCT_1M_RT</stp>
        <tr r="E168" s="2"/>
      </tp>
      <tp>
        <v>4.1900000000000004</v>
        <stp/>
        <stp>BDP|6985187437736258864|22</stp>
        <stp>FOURTHMI AB Equity</stp>
        <stp>YEST_LAST_TRADE</stp>
        <tr r="G132" s="2"/>
      </tp>
      <tp>
        <v>480575</v>
        <stp/>
        <stp>BDP|16729945596968162659|22</stp>
        <stp>CENOMICE AB Equity</stp>
        <stp>VOLUME</stp>
        <tr r="J259" s="2"/>
      </tp>
      <tp>
        <v>11.07</v>
        <stp/>
        <stp>BDP|1680484891747307097|22</stp>
        <stp>JADWAREI AB Equity</stp>
        <stp>YEST_LAST_TRADE</stp>
        <tr r="G105" s="2"/>
      </tp>
      <tp>
        <v>-0.91070002317428589</v>
        <stp/>
        <stp>BDP|12836892840703999596|22</stp>
        <stp>MBCGROUP AB Equity</stp>
        <stp>RT_PX_CHG_PCT_1D</stp>
        <tr r="D243" s="2"/>
      </tp>
      <tp>
        <v>-9.4809000000000001</v>
        <stp/>
        <stp>BDP|13939044012294883441|22</stp>
        <stp>CENOMICE AB Equity</stp>
        <stp>CHG_PCT_YTD_RT</stp>
        <tr r="F259" s="2"/>
      </tp>
      <tp>
        <v>51.9</v>
        <stp/>
        <stp>BDP|15780648070565157369|22</stp>
        <stp>ARCCI AB Equity</stp>
        <stp>BID</stp>
        <tr r="Q166" s="2"/>
      </tp>
      <tp>
        <v>23.96</v>
        <stp/>
        <stp>BDP|1226094022311947466|22</stp>
        <stp>CHERRY AB Equity</stp>
        <stp>HIGH</stp>
        <tr r="M53" s="2"/>
      </tp>
      <tp>
        <v>7.43</v>
        <stp/>
        <stp>BDP|16951364232094893522|22</stp>
        <stp>AMANA AB Equity</stp>
        <stp>BID</stp>
        <tr r="Q176" s="2"/>
      </tp>
      <tp>
        <v>55.857900000000001</v>
        <stp/>
        <stp>BDP|8592893420071519960|22</stp>
        <stp>ALRAMZ AB Equity</stp>
        <stp>VWAP</stp>
        <tr r="N265" s="2"/>
      </tp>
      <tp>
        <v>82.7</v>
        <stp/>
        <stp>BDP|10789788338198316547|22</stp>
        <stp>MCDCO AB Equity</stp>
        <stp>LOW</stp>
        <tr r="L257" s="2"/>
      </tp>
      <tp>
        <v>79</v>
        <stp/>
        <stp>BDP|11521150342203969241|22</stp>
        <stp>SFICO AB Equity</stp>
        <stp>LAST_PRICE</stp>
        <tr r="C130" s="2"/>
        <tr r="B130" s="2"/>
      </tp>
      <tp>
        <v>25.96</v>
        <stp/>
        <stp>BDP|5140837723746357842|22</stp>
        <stp>OBEKAN AB Equity</stp>
        <stp>HIGH</stp>
        <tr r="M24" s="2"/>
      </tp>
      <tp>
        <v>-0.60420000553131104</v>
        <stp/>
        <stp>BDP|4109202932707918661|22</stp>
        <stp>ASTRA AB Equity</stp>
        <stp>RT_PX_CHG_PCT_1D</stp>
        <tr r="D27" s="2"/>
      </tp>
      <tp>
        <v>50.9</v>
        <stp/>
        <stp>BDP|6009853827217365148|22</stp>
        <stp>SSP AB Equity</stp>
        <stp>HIGH</stp>
        <tr r="M193" s="2"/>
      </tp>
      <tp>
        <v>15.69</v>
        <stp/>
        <stp>BDP|406213944079020757|22</stp>
        <stp>YNCCO AB Equity</stp>
        <stp>ASK</stp>
        <tr r="R209" s="2"/>
      </tp>
      <tp>
        <v>32.04</v>
        <stp/>
        <stp>BDP|2091120996907828456|22</stp>
        <stp>MEH AB Equity</stp>
        <stp>YEST_LAST_TRADE</stp>
        <tr r="G152" s="2"/>
      </tp>
      <tp>
        <v>1.2808999999999999</v>
        <stp/>
        <stp>BDP|3244127526485536878|22</stp>
        <stp>SAWCEM AB Equity</stp>
        <stp>CHG_PCT_1M_RT</stp>
        <tr r="E204" s="2"/>
      </tp>
      <tp>
        <v>30.536200000000001</v>
        <stp/>
        <stp>BDP|15394563831979192996|22</stp>
        <stp>MESC AB Equity</stp>
        <stp>VWAP</stp>
        <tr r="N21" s="2"/>
      </tp>
      <tp>
        <v>2.7778000831604004</v>
        <stp/>
        <stp>BDP|438428347439853331|22</stp>
        <stp>SPORTCLU AB Equity</stp>
        <stp>RT_PX_CHG_PCT_1D</stp>
        <tr r="D67" s="2"/>
      </tp>
      <tp>
        <v>9.0475999999999992</v>
        <stp/>
        <stp>BDP|9981189925096808007|22</stp>
        <stp>ABDICO AB Equity</stp>
        <stp>CHG_PCT_1M_RT</stp>
        <tr r="E123" s="2"/>
      </tp>
      <tp>
        <v>111.5497</v>
        <stp/>
        <stp>BDP|12514393974910369778|22</stp>
        <stp>AWPT AB Equity</stp>
        <stp>VWAP</stp>
        <tr r="N290" s="2"/>
      </tp>
      <tp>
        <v>107504</v>
        <stp/>
        <stp>BDP|152757395009032870|22</stp>
        <stp>EACCO AB Equity</stp>
        <stp>VOLUME</stp>
        <tr r="J213" s="2"/>
      </tp>
      <tp>
        <v>110.5</v>
        <stp/>
        <stp>BDP|5922288957171109109|22</stp>
        <stp>AWPT AB Equity</stp>
        <stp>LOW</stp>
        <tr r="L290" s="2"/>
      </tp>
      <tp>
        <v>9843829</v>
        <stp/>
        <stp>BDP|17944919955689690426|22</stp>
        <stp>ALKATHIR AB Equity</stp>
        <stp>VOLUME</stp>
        <tr r="J203" s="2"/>
      </tp>
      <tp>
        <v>84.5</v>
        <stp/>
        <stp>BDP|10717988196596160188|22</stp>
        <stp>MCDCO AB Equity</stp>
        <stp>HIGH</stp>
        <tr r="M257" s="2"/>
      </tp>
      <tp>
        <v>3.42</v>
        <stp/>
        <stp>BDP|17559369176415369760|22</stp>
        <stp>MEFIC AB Equity</stp>
        <stp>HIGH</stp>
        <tr r="M108" s="2"/>
      </tp>
      <tp>
        <v>10.74</v>
        <stp/>
        <stp>BDP|13160024514135375261|22</stp>
        <stp>SAICO AB Equity</stp>
        <stp>HIGH</stp>
        <tr r="M186" s="2"/>
      </tp>
      <tp>
        <v>43.98</v>
        <stp/>
        <stp>BDP|10322502741037827343|22</stp>
        <stp>JADCO AB Equity</stp>
        <stp>HIGH</stp>
        <tr r="M145" s="2"/>
      </tp>
      <tp>
        <v>7.43</v>
        <stp/>
        <stp>BDP|15279138091228199099|22</stp>
        <stp>AMANA AB Equity</stp>
        <stp>LAST_PRICE</stp>
        <tr r="B176" s="2"/>
        <tr r="C176" s="2"/>
      </tp>
      <tp>
        <v>27.12</v>
        <stp/>
        <stp>BDP|10866645822270617870|22</stp>
        <stp>EACCO AB Equity</stp>
        <stp>LAST_PRICE</stp>
        <tr r="B213" s="2"/>
        <tr r="C213" s="2"/>
      </tp>
      <tp>
        <v>2.2599999999999998</v>
        <stp/>
        <stp>BDP|10380041246056532980|22</stp>
        <stp>BATIC AB Equity</stp>
        <stp>LAST_PRICE</stp>
        <tr r="C26" s="2"/>
        <tr r="B26" s="2"/>
      </tp>
      <tp>
        <v>39.619999999999997</v>
        <stp/>
        <stp>BDP|11183861086884917322|22</stp>
        <stp>BAWAN AB Equity</stp>
        <stp>LOW</stp>
        <tr r="L22" s="2"/>
      </tp>
      <tp>
        <v>12</v>
        <stp/>
        <stp>BDP|12802414938953722015|22</stp>
        <stp>ANAAM AB Equity</stp>
        <stp>LOW</stp>
        <tr r="L84" s="2"/>
      </tp>
      <tp>
        <v>25.26</v>
        <stp/>
        <stp>BDP|18165245975742618465|22</stp>
        <stp>YACCO AB Equity</stp>
        <stp>LAST_PRICE</stp>
        <tr r="C222" s="2"/>
        <tr r="B222" s="2"/>
      </tp>
      <tp>
        <v>39.08</v>
        <stp/>
        <stp>BDP|4344054454317039078|22</stp>
        <stp>SNB AB Equity</stp>
        <stp>HIGH</stp>
        <tr r="M13" s="2"/>
      </tp>
      <tp>
        <v>43.24</v>
        <stp/>
        <stp>BDP|614089698213224066|22</stp>
        <stp>STC AB Equity</stp>
        <stp>BID</stp>
        <tr r="Q275" s="2"/>
      </tp>
      <tp>
        <v>55.8</v>
        <stp/>
        <stp>BDP|13647611623716089068|22</stp>
        <stp>ALRAMZ AB Equity</stp>
        <stp>BID</stp>
        <tr r="Q265" s="2"/>
      </tp>
      <tp>
        <v>19.559999999999999</v>
        <stp/>
        <stp>BDP|1237233942122385011|22</stp>
        <stp>ACE AB Equity</stp>
        <stp>HIGH</stp>
        <tr r="M177" s="2"/>
      </tp>
      <tp>
        <v>55.7</v>
        <stp/>
        <stp>BDP|14929779548909389676|22</stp>
        <stp>FLYNAS AB Equity</stp>
        <stp>BID</stp>
        <tr r="Q283" s="2"/>
      </tp>
      <tp>
        <v>13.89</v>
        <stp/>
        <stp>BDP|10529706119133183230|22</stp>
        <stp>UACC AB Equity</stp>
        <stp>HIGH</stp>
        <tr r="M206" s="2"/>
      </tp>
      <tp>
        <v>-3.3780000000000001</v>
        <stp/>
        <stp>BDP|4067369689945902354|22</stp>
        <stp>ZOUJAJ AB Equity</stp>
        <stp>CHG_PCT_1M_RT</stp>
        <tr r="E220" s="2"/>
      </tp>
      <tp>
        <v>105.27760000000001</v>
        <stp/>
        <stp>BDP|11812767375843565137|22</stp>
        <stp>CARE AB Equity</stp>
        <stp>VWAP</stp>
        <tr r="N158" s="2"/>
      </tp>
      <tp>
        <v>32.548999999999999</v>
        <stp/>
        <stp>BDP|5708689558804491501|22</stp>
        <stp>SALAMA AB Equity</stp>
        <stp>CHG_PCT_1M_RT</stp>
        <tr r="E172" s="2"/>
      </tp>
      <tp>
        <v>-2.9830000000000001</v>
        <stp/>
        <stp>BDP|6004084718811322997|22</stp>
        <stp>ALSAIF AB Equity</stp>
        <stp>CHG_PCT_1M_RT</stp>
        <tr r="E50" s="2"/>
      </tp>
      <tp>
        <v>-5.9382000000000001</v>
        <stp/>
        <stp>BDP|4269985597560297973|22</stp>
        <stp>MAADEN AB Equity</stp>
        <stp>CHG_PCT_1M_RT</stp>
        <tr r="E210" s="2"/>
      </tp>
      <tp>
        <v>10.484500000000001</v>
        <stp/>
        <stp>BDP|8343947806744536370|22</stp>
        <stp>CENOMI AB Equity</stp>
        <stp>CHG_PCT_1M_RT</stp>
        <tr r="E49" s="2"/>
      </tp>
      <tp>
        <v>4.62</v>
        <stp/>
        <stp>BDP|1187332490835045118|22</stp>
        <stp>MULKIA AB Equity</stp>
        <stp>LAST_PRICE</stp>
        <tr r="B100" s="2"/>
        <tr r="C100" s="2"/>
      </tp>
      <tp>
        <v>-0.6452</v>
        <stp/>
        <stp>BDP|2494489938585563910|22</stp>
        <stp>MULKIA AB Equity</stp>
        <stp>CHG_PCT_1M_RT</stp>
        <tr r="E100" s="2"/>
      </tp>
      <tp>
        <v>15.11</v>
        <stp/>
        <stp>BDP|14479736804067910484|22</stp>
        <stp>HERFY AB Equity</stp>
        <stp>HIGH</stp>
        <tr r="M69" s="2"/>
      </tp>
      <tp>
        <v>23.06</v>
        <stp/>
        <stp>BDP|8438496369277862822|22</stp>
        <stp>MBCGROUP AB Equity</stp>
        <stp>YEST_LAST_TRADE</stp>
        <tr r="G243" s="2"/>
      </tp>
      <tp>
        <v>13.33</v>
        <stp/>
        <stp>BDP|13633762576176618773|22</stp>
        <stp>SIIG AB Equity</stp>
        <stp>LAST_PRICE</stp>
        <tr r="C227" s="2"/>
        <tr r="B227" s="2"/>
      </tp>
      <tp>
        <v>23.38</v>
        <stp/>
        <stp>BDP|17888099162140893463|22</stp>
        <stp>FPCO AB Equity</stp>
        <stp>LAST_PRICE</stp>
        <tr r="B147" s="2"/>
        <tr r="C147" s="2"/>
      </tp>
      <tp>
        <v>15.72</v>
        <stp/>
        <stp>BDP|12414073244878986531|22</stp>
        <stp>YNCCO AB Equity</stp>
        <stp>HIGH</stp>
        <tr r="M209" s="2"/>
      </tp>
      <tp>
        <v>0.3716999888420105</v>
        <stp/>
        <stp>BDP|12109468580074597697|22</stp>
        <stp>ALWASAIL AB Equity</stp>
        <stp>RT_PX_CHG_PCT_1D</stp>
        <tr r="D32" s="2"/>
      </tp>
      <tp>
        <v>10.1</v>
        <stp/>
        <stp>BDP|8107289732125057602|22</stp>
        <stp>BONYAN AB Equity</stp>
        <stp>HIGH</stp>
        <tr r="M114" s="2"/>
      </tp>
      <tp>
        <v>59899</v>
        <stp/>
        <stp>BDP|903098754192141735|22</stp>
        <stp>ALMAJED AB Equity</stp>
        <stp>VOLUME</stp>
        <tr r="J163" s="2"/>
      </tp>
      <tp>
        <v>26.18</v>
        <stp/>
        <stp>BDP|6470317625725339871|22</stp>
        <stp>ARAMCO AB Equity</stp>
        <stp>HIGH</stp>
        <tr r="M92" s="2"/>
      </tp>
      <tp>
        <v>18.920000000000002</v>
        <stp/>
        <stp>BDP|702650717424987374|22</stp>
        <stp>ACE AB Equity</stp>
        <stp>LOW</stp>
        <tr r="L177" s="2"/>
      </tp>
      <tp>
        <v>23.84</v>
        <stp/>
        <stp>BDP|6764735042835603292|22</stp>
        <stp>SCH AB Equity</stp>
        <stp>HIGH</stp>
        <tr r="M47" s="2"/>
      </tp>
      <tp>
        <v>14.58</v>
        <stp/>
        <stp>BDP|1177051591169396117|22</stp>
        <stp>EIC AB Equity</stp>
        <stp>HIGH</stp>
        <tr r="M16" s="2"/>
      </tp>
      <tp>
        <v>60.45</v>
        <stp/>
        <stp>BDP|1774411832782195151|22</stp>
        <stp>EEC AB Equity</stp>
        <stp>HIGH</stp>
        <tr r="M274" s="2"/>
      </tp>
      <tp>
        <v>18.37</v>
        <stp/>
        <stp>BDP|11114683385231410968|22</stp>
        <stp>ADES AB Equity</stp>
        <stp>OPEN</stp>
        <tr r="K90" s="2"/>
      </tp>
      <tp>
        <v>35.78</v>
        <stp/>
        <stp>BDP|9049079383143843998|22</stp>
        <stp>THIMAR AB Equity</stp>
        <stp>YEST_LAST_TRADE</stp>
        <tr r="G83" s="2"/>
      </tp>
      <tp>
        <v>39.700000000000003</v>
        <stp/>
        <stp>BDP|8059223375442751034|22</stp>
        <stp>ALAMAR AB Equity</stp>
        <stp>YEST_LAST_TRADE</stp>
        <tr r="G77" s="2"/>
      </tp>
      <tp>
        <v>4.62</v>
        <stp/>
        <stp>BDP|9246549595286039681|22</stp>
        <stp>MULKIA AB Equity</stp>
        <stp>YEST_LAST_TRADE</stp>
        <tr r="G100" s="2"/>
      </tp>
      <tp>
        <v>113.7</v>
        <stp/>
        <stp>BDP|7734400226176266827|22</stp>
        <stp>ALDREES AB Equity</stp>
        <stp>BID</stp>
        <tr r="Q46" s="2"/>
      </tp>
      <tp>
        <v>8.7100000000000009</v>
        <stp/>
        <stp>BDP|2319227526940156803|22</stp>
        <stp>ATTMCO AB Equity</stp>
        <stp>YEST_LAST_TRADE</stp>
        <tr r="G131" s="2"/>
      </tp>
      <tp>
        <v>25.42</v>
        <stp/>
        <stp>BDP|13678644804916031626|22</stp>
        <stp>UCIC AB Equity</stp>
        <stp>LAST_PRICE</stp>
        <tr r="C194" s="2"/>
        <tr r="B194" s="2"/>
      </tp>
      <tp>
        <v>61365</v>
        <stp/>
        <stp>BDP|17785336123547812260|22</stp>
        <stp>JAMJOOMP AB Equity</stp>
        <stp>VOLUME</stp>
        <tr r="J248" s="2"/>
      </tp>
      <tp>
        <v>31.907599999999999</v>
        <stp/>
        <stp>BDP|17721219380695291309|22</stp>
        <stp>NSCSA AB Equity</stp>
        <stp>VWAP</stp>
        <tr r="N94" s="2"/>
      </tp>
      <tp>
        <v>0.67229998111724854</v>
        <stp/>
        <stp>BDP|11609066620060772816|22</stp>
        <stp>RIYADHCA AB Equity</stp>
        <stp>RT_PX_CHG_PCT_1D</stp>
        <tr r="D23" s="2"/>
      </tp>
      <tp>
        <v>7.89</v>
        <stp/>
        <stp>BDP|14079949516568858352|22</stp>
        <stp>TACCO AB Equity</stp>
        <stp>HIGH</stp>
        <tr r="M212" s="2"/>
      </tp>
      <tp>
        <v>2.75</v>
        <stp/>
        <stp>BDP|16978306697090036271|22</stp>
        <stp>SADR AB Equity</stp>
        <stp>LAST_PRICE</stp>
        <tr r="C39" s="2"/>
        <tr r="B39" s="2"/>
      </tp>
      <tp>
        <v>-1.1337999999999999</v>
        <stp/>
        <stp>BDP|143350487268768238|22</stp>
        <stp>ALMAJED AB Equity</stp>
        <stp>CHG_PCT_YTD_RT</stp>
        <tr r="F163" s="2"/>
      </tp>
      <tp>
        <v>1.7662</v>
        <stp/>
        <stp>BDP|17491444254307140252|22</stp>
        <stp>AVALONPH AB Equity</stp>
        <stp>CHG_PCT_1M_RT</stp>
        <tr r="E247" s="2"/>
      </tp>
      <tp>
        <v>12.43</v>
        <stp/>
        <stp>BDP|12154272934672339169|22</stp>
        <stp>ANAAM AB Equity</stp>
        <stp>ASK</stp>
        <tr r="R84" s="2"/>
      </tp>
      <tp>
        <v>11.32</v>
        <stp/>
        <stp>BDP|14039902606264196672|22</stp>
        <stp>CITYC AB Equity</stp>
        <stp>ASK</stp>
        <tr r="R223" s="2"/>
      </tp>
      <tp>
        <v>27.12</v>
        <stp/>
        <stp>BDP|11592194507394038374|22</stp>
        <stp>EACCO AB Equity</stp>
        <stp>BID</stp>
        <tr r="Q213" s="2"/>
      </tp>
      <tp>
        <v>15.81</v>
        <stp/>
        <stp>BDP|11950887428844951925|22</stp>
        <stp>NADEC AB Equity</stp>
        <stp>BID</stp>
        <tr r="Q140" s="2"/>
      </tp>
      <tp>
        <v>10.87</v>
        <stp/>
        <stp>BDP|4473208673751534880|22</stp>
        <stp>TALEEM AB Equity</stp>
        <stp>HIGH</stp>
        <tr r="M112" s="2"/>
      </tp>
      <tp>
        <v>4.96</v>
        <stp/>
        <stp>BDP|11599862349256316043|22</stp>
        <stp>JADWA AB Equity</stp>
        <stp>LOW</stp>
        <tr r="L101" s="2"/>
      </tp>
      <tp>
        <v>2.25</v>
        <stp/>
        <stp>BDP|15381489919648171434|22</stp>
        <stp>BATIC AB Equity</stp>
        <stp>BID</stp>
        <tr r="Q26" s="2"/>
      </tp>
      <tp>
        <v>23.3</v>
        <stp/>
        <stp>BDP|18226799873942409356|22</stp>
        <stp>THEEB AB Equity</stp>
        <stp>LAST_PRICE</stp>
        <tr r="B286" s="2"/>
        <tr r="C286" s="2"/>
      </tp>
      <tp>
        <v>21.07</v>
        <stp/>
        <stp>BDP|810688744064373977|22</stp>
        <stp>AZM AB Equity</stp>
        <stp>LOW</stp>
        <tr r="L271" s="2"/>
      </tp>
      <tp>
        <v>35.520000000000003</v>
        <stp/>
        <stp>BDP|12638352116991294089|22</stp>
        <stp>THIMAR AB Equity</stp>
        <stp>LOW</stp>
        <tr r="L83" s="2"/>
      </tp>
      <tp>
        <v>31.28</v>
        <stp/>
        <stp>BDP|1122521603919843074|22</stp>
        <stp>SGS AB Equity</stp>
        <stp>HIGH</stp>
        <tr r="M281" s="2"/>
      </tp>
      <tp>
        <v>4.3558001518249512</v>
        <stp/>
        <stp>BDP|4715117436196939180|22</stp>
        <stp>ASLAK AB Equity</stp>
        <stp>RT_PX_CHG_PCT_1D</stp>
        <tr r="D219" s="2"/>
      </tp>
      <tp>
        <v>12.03</v>
        <stp/>
        <stp>BDP|1096131835414326762|22</stp>
        <stp>ALLIANZ AB Equity</stp>
        <stp>BID</stp>
        <tr r="Q175" s="2"/>
      </tp>
      <tp>
        <v>149297</v>
        <stp/>
        <stp>BDP|566514348304938256|22</stp>
        <stp>SEDCO AB Equity</stp>
        <stp>VOLUME</stp>
        <tr r="J99" s="2"/>
      </tp>
      <tp>
        <v>18.003</v>
        <stp/>
        <stp>BDP|10569862402253664845|22</stp>
        <stp>MEPC AB Equity</stp>
        <stp>VWAP</stp>
        <tr r="N197" s="2"/>
      </tp>
      <tp>
        <v>114</v>
        <stp/>
        <stp>BDP|4203227765397620020|22</stp>
        <stp>ALDREES AB Equity</stp>
        <stp>ASK</stp>
        <tr r="R46" s="2"/>
      </tp>
      <tp>
        <v>50.517499999999998</v>
        <stp/>
        <stp>BDP|10013319143462534408|22</stp>
        <stp>ATAA AB Equity</stp>
        <stp>VWAP</stp>
        <tr r="N75" s="2"/>
      </tp>
      <tp>
        <v>0.46879999999999999</v>
        <stp/>
        <stp>BDP|9196758523266583919|22</stp>
        <stp>ALAHLI AB Equity</stp>
        <stp>CHG_PCT_1M_RT</stp>
        <tr r="E107" s="2"/>
      </tp>
      <tp>
        <v>10792.15</v>
        <stp/>
        <stp>BDP|7504102244309633010|22</stp>
        <stp>SASEIDX Index</stp>
        <stp>OPEN</stp>
        <tr r="K2" s="2"/>
      </tp>
      <tp>
        <v>17.55</v>
        <stp/>
        <stp>BDP|11247246316245237105|22</stp>
        <stp>teco AB Equity</stp>
        <stp>ASK</stp>
        <tr r="R72" s="2"/>
      </tp>
      <tp>
        <v>24.39</v>
        <stp/>
        <stp>BDP|13648362497194002293|22</stp>
        <stp>ALBI AB Equity</stp>
        <stp>LAST_PRICE</stp>
        <tr r="C5" s="2"/>
        <tr r="B5" s="2"/>
      </tp>
      <tp>
        <v>40.619999999999997</v>
        <stp/>
        <stp>BDP|17841533641632626277|22</stp>
        <stp>BAWAN AB Equity</stp>
        <stp>HIGH</stp>
        <tr r="M22" s="2"/>
      </tp>
      <tp>
        <v>-5.3190999999999997</v>
        <stp/>
        <stp>BDP|3816944616982936882|22</stp>
        <stp>AMAK AB Equity</stp>
        <stp>CHG_PCT_1M_RT</stp>
        <tr r="E196" s="2"/>
      </tp>
      <tp>
        <v>11.55</v>
        <stp/>
        <stp>BDP|7810876993149824430|22</stp>
        <stp>JAZTAKAF AB Equity</stp>
        <stp>YEST_LAST_TRADE</stp>
        <tr r="G178" s="2"/>
      </tp>
      <tp>
        <v>17.89</v>
        <stp/>
        <stp>BDP|55200428480428011|22</stp>
        <stp>ADCO AB Equity</stp>
        <stp>LAST_PRICE</stp>
        <tr r="C260" s="2"/>
        <tr r="B260" s="2"/>
      </tp>
      <tp>
        <v>32.18</v>
        <stp/>
        <stp>BDP|17320268143006986026|22</stp>
        <stp>FIPCO AB Equity</stp>
        <stp>ASK</stp>
        <tr r="R232" s="2"/>
      </tp>
      <tp>
        <v>15.09</v>
        <stp/>
        <stp>BDP|12421767615712305305|22</stp>
        <stp>ASACO AB Equity</stp>
        <stp>BID</stp>
        <tr r="Q127" s="2"/>
      </tp>
      <tp>
        <v>16.739999999999998</v>
        <stp/>
        <stp>BDP|3405690819894352892|22</stp>
        <stp>TAPRCO AB Equity</stp>
        <stp>OPEN</stp>
        <tr r="K241" s="2"/>
      </tp>
      <tp>
        <v>11.44</v>
        <stp/>
        <stp>BDP|17982285645462808875|22</stp>
        <stp>ENAYA AB Equity</stp>
        <stp>ASK</stp>
        <tr r="R179" s="2"/>
      </tp>
      <tp>
        <v>131.9</v>
        <stp/>
        <stp>BDP|15824658360110128213|22</stp>
        <stp>ASTRA AB Equity</stp>
        <stp>ASK</stp>
        <tr r="R27" s="2"/>
      </tp>
      <tp>
        <v>17.72</v>
        <stp/>
        <stp>BDP|8054228842518165875|22</stp>
        <stp>GAS AB Equity</stp>
        <stp>HIGH</stp>
        <tr r="M30" s="2"/>
      </tp>
      <tp>
        <v>31.88</v>
        <stp/>
        <stp>BDP|5515473331579628838|22</stp>
        <stp>NASEEJ AB Equity</stp>
        <stp>LAST_PRICE</stp>
        <tr r="B55" s="2"/>
        <tr r="C55" s="2"/>
      </tp>
      <tp>
        <v>24.2</v>
        <stp/>
        <stp>BDP|14955912655019224641|22</stp>
        <stp>ALBI AB Equity</stp>
        <stp>OPEN</stp>
        <tr r="K5" s="2"/>
      </tp>
      <tp>
        <v>8.99</v>
        <stp/>
        <stp>BDP|4919892552912887832|22</stp>
        <stp>MAATHER AB Equity</stp>
        <stp>LOW</stp>
        <tr r="L106" s="2"/>
      </tp>
      <tp>
        <v>113.4</v>
        <stp/>
        <stp>BDP|9625124288407715560|22</stp>
        <stp>ALDREES AB Equity</stp>
        <stp>LOW</stp>
        <tr r="L46" s="2"/>
      </tp>
      <tp>
        <v>6.5888999999999998</v>
        <stp/>
        <stp>BDP|14332051243202611889|22</stp>
        <stp>APCO AB Equity</stp>
        <stp>VWAP</stp>
        <tr r="N192" s="2"/>
      </tp>
      <tp>
        <v>113</v>
        <stp/>
        <stp>BDP|15640879000740482571|22</stp>
        <stp>AWPT AB Equity</stp>
        <stp>OPEN</stp>
        <tr r="K290" s="2"/>
      </tp>
      <tp>
        <v>6.55</v>
        <stp/>
        <stp>BDP|18166275790518287249|22</stp>
        <stp>APCO AB Equity</stp>
        <stp>LAST_PRICE</stp>
        <tr r="B192" s="2"/>
        <tr r="C192" s="2"/>
      </tp>
      <tp>
        <v>18.27</v>
        <stp/>
        <stp>BDP|8875508883189402977|22</stp>
        <stp>ADES AB Equity</stp>
        <stp>LOW</stp>
        <tr r="L90" s="2"/>
      </tp>
      <tp>
        <v>14.736000000000001</v>
        <stp/>
        <stp>BDP|13342476365132709660|22</stp>
        <stp>ASACO AB Equity</stp>
        <stp>VWAP</stp>
        <tr r="N127" s="2"/>
      </tp>
      <tp>
        <v>-2.654900074005127</v>
        <stp/>
        <stp>BDP|18260973835876059546|22</stp>
        <stp>EASTPIPE AB Equity</stp>
        <stp>RT_PX_CHG_PCT_1D</stp>
        <tr r="D217" s="2"/>
      </tp>
      <tp>
        <v>84015</v>
        <stp/>
        <stp>BDP|11252719868586004624|22</stp>
        <stp>ALKHABEE AB Equity</stp>
        <stp>VOLUME</stp>
        <tr r="J110" s="2"/>
      </tp>
      <tp>
        <v>3.07</v>
        <stp/>
        <stp>BDP|14725392732664601848|22</stp>
        <stp>BANAN AB Equity</stp>
        <stp>LAST_PRICE</stp>
        <tr r="B256" s="2"/>
        <tr r="C256" s="2"/>
      </tp>
      <tp>
        <v>3.6630001068115234</v>
        <stp/>
        <stp>BDP|3590191144550143549|22</stp>
        <stp>BAAZEEM AB Equity</stp>
        <stp>RT_PX_CHG_PCT_1D</stp>
        <tr r="D48" s="2"/>
      </tp>
      <tp>
        <v>11.2281</v>
        <stp/>
        <stp>BDP|1807800405181364384|22</stp>
        <stp>SAPTCO AB Equity</stp>
        <stp>VWAP</stp>
        <tr r="N279" s="2"/>
      </tp>
      <tp>
        <v>31.74</v>
        <stp/>
        <stp>BDP|15620969274120723277|22</stp>
        <stp>NSCSA AB Equity</stp>
        <stp>LOW</stp>
        <tr r="L94" s="2"/>
      </tp>
      <tp>
        <v>7.01</v>
        <stp/>
        <stp>BDP|17788021607640638500|22</stp>
        <stp>TAACO AB Equity</stp>
        <stp>LAST_PRICE</stp>
        <tr r="C141" s="2"/>
        <tr r="B141" s="2"/>
      </tp>
      <tp>
        <v>40.22</v>
        <stp/>
        <stp>BDP|12983277299475238881|22</stp>
        <stp>BAWAN AB Equity</stp>
        <stp>BID</stp>
        <tr r="Q22" s="2"/>
      </tp>
      <tp>
        <v>79</v>
        <stp/>
        <stp>BDP|7071994122970013163|22</stp>
        <stp>LEEJAM AB Equity</stp>
        <stp>HIGH</stp>
        <tr r="M71" s="2"/>
      </tp>
      <tp>
        <v>5.7</v>
        <stp/>
        <stp>BDP|17174787905389215778|22</stp>
        <stp>CMCER AB Equity</stp>
        <stp>LAST_PRICE</stp>
        <tr r="C161" s="2"/>
        <tr r="B161" s="2"/>
      </tp>
      <tp>
        <v>13.65</v>
        <stp/>
        <stp>BDP|12924388257111825053|22</stp>
        <stp>JAHEZ AB Equity</stp>
        <stp>LAST_PRICE</stp>
        <tr r="B62" s="2"/>
        <tr r="C62" s="2"/>
      </tp>
      <tp>
        <v>6.83</v>
        <stp/>
        <stp>BDP|3050789323132405854|22</stp>
        <stp>ALSAIF AB Equity</stp>
        <stp>LAST_PRICE</stp>
        <tr r="B50" s="2"/>
        <tr r="C50" s="2"/>
      </tp>
      <tp>
        <v>11.161799999999999</v>
        <stp/>
        <stp>BDP|14960237189569009755|22</stp>
        <stp>AADC AB Equity</stp>
        <stp>VWAP</stp>
        <tr r="N128" s="2"/>
      </tp>
      <tp>
        <v>71.900000000000006</v>
        <stp/>
        <stp>BDP|12203586950241337916|22</stp>
        <stp>AMAK AB Equity</stp>
        <stp>OPEN</stp>
        <tr r="K196" s="2"/>
      </tp>
      <tp>
        <v>3.85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14.45</v>
        <stp/>
        <stp>BDP|12364332637148194002|22</stp>
        <stp>SAAC AB Equity</stp>
        <stp>HIGH</stp>
        <tr r="M17" s="2"/>
      </tp>
      <tp>
        <v>14.31</v>
        <stp/>
        <stp>BDP|4039024635850942386|22</stp>
        <stp>SIPCHEM AB Equity</stp>
        <stp>BID</stp>
        <tr r="Q236" s="2"/>
      </tp>
      <tp>
        <v>5.3925999999999998</v>
        <stp/>
        <stp>BDP|7377474036126209448|22</stp>
        <stp>FLYNAS AB Equity</stp>
        <stp>CHG_PCT_1M_RT</stp>
        <tr r="E283" s="2"/>
      </tp>
      <tp>
        <v>42.831499999999998</v>
        <stp/>
        <stp>BDP|3766254543592156973|22</stp>
        <stp>NASEEJ AB Equity</stp>
        <stp>CHG_PCT_1M_RT</stp>
        <tr r="E55" s="2"/>
      </tp>
      <tp>
        <v>-3.2138</v>
        <stp/>
        <stp>BDP|6388125275338415641|22</stp>
        <stp>LEEJAM AB Equity</stp>
        <stp>CHG_PCT_1M_RT</stp>
        <tr r="E71" s="2"/>
      </tp>
      <tp>
        <v>4.7145999999999999</v>
        <stp/>
        <stp>BDP|2733075724357877087|22</stp>
        <stp>GIZACO AB Equity</stp>
        <stp>CHG_PCT_1M_RT</stp>
        <tr r="E133" s="2"/>
      </tp>
      <tp>
        <v>9.6734000000000009</v>
        <stp/>
        <stp>BDP|7262743040517997488|22</stp>
        <stp>SECO AB Equity</stp>
        <stp>CHG_PCT_1M_RT</stp>
        <tr r="E291" s="2"/>
      </tp>
      <tp>
        <v>3.95</v>
        <stp/>
        <stp>BDP|15047172672450489108|22</stp>
        <stp>GGCI AB Equity</stp>
        <stp>LAST_PRICE</stp>
        <tr r="B187" s="2"/>
        <tr r="C187" s="2"/>
      </tp>
      <tp t="s">
        <v>#N/A N/A</v>
        <stp/>
        <stp>BDP|13760608936965044758|22</stp>
        <stp>SALEHALR AB Equity</stp>
        <stp>CHG_PCT_YTD_RT</stp>
        <tr r="F239" s="2"/>
      </tp>
      <tp>
        <v>51.9</v>
        <stp/>
        <stp>BDP|754721288123881906|22</stp>
        <stp>ATAA AB Equity</stp>
        <stp>HIGH</stp>
        <tr r="M75" s="2"/>
      </tp>
      <tp>
        <v>17.2</v>
        <stp/>
        <stp>BDP|13112443481112608345|22</stp>
        <stp>SIDC AB Equity</stp>
        <stp>LAST_PRICE</stp>
        <tr r="C56" s="2"/>
        <tr r="B56" s="2"/>
      </tp>
      <tp>
        <v>4.1666999999999996</v>
        <stp/>
        <stp>BDP|7801547875952365459|22</stp>
        <stp>SADR AB Equity</stp>
        <stp>CHG_PCT_1M_RT</stp>
        <tr r="E39" s="2"/>
      </tp>
      <tp>
        <v>216636</v>
        <stp/>
        <stp>BDP|15877976913962151830|22</stp>
        <stp>TADAWULG AB Equity</stp>
        <stp>VOLUME</stp>
        <tr r="J120" s="2"/>
      </tp>
      <tp>
        <v>33.340000000000003</v>
        <stp/>
        <stp>BDP|12654378858919507534|22</stp>
        <stp>TALCO AB Equity</stp>
        <stp>HIGH</stp>
        <tr r="M208" s="2"/>
      </tp>
      <tp>
        <v>15.54</v>
        <stp/>
        <stp>BDP|12760977647329510465|22</stp>
        <stp>SRECO AB Equity</stp>
        <stp>OPEN</stp>
        <tr r="K254" s="2"/>
      </tp>
      <tp>
        <v>20.027100000000001</v>
        <stp/>
        <stp>BDP|13778649737501914438|22</stp>
        <stp>CHEMANOL AB Equity</stp>
        <stp>CHG_PCT_YTD_RT</stp>
        <tr r="F234" s="2"/>
      </tp>
      <tp>
        <v>6.5</v>
        <stp/>
        <stp>BDP|2062188816442478395|22</stp>
        <stp>ALETIHAD AB Equity</stp>
        <stp>YEST_LAST_TRADE</stp>
        <tr r="G180" s="2"/>
      </tp>
      <tp>
        <v>89.8</v>
        <stp/>
        <stp>BDP|2393143795596420536|22</stp>
        <stp>ALARABIA AB Equity</stp>
        <stp>YEST_LAST_TRADE</stp>
        <tr r="G244" s="2"/>
      </tp>
      <tp>
        <v>8.8800000000000008</v>
        <stp/>
        <stp>BDP|17727818284146426532|22</stp>
        <stp>AMLAK AB Equity</stp>
        <stp>HIGH</stp>
        <tr r="M122" s="2"/>
      </tp>
      <tp>
        <v>5.8567999999999998</v>
        <stp/>
        <stp>BDP|12616247906079127909|22</stp>
        <stp>BINDAWOO AB Equity</stp>
        <stp>CHG_PCT_YTD_RT</stp>
        <tr r="F80" s="2"/>
      </tp>
      <tp>
        <v>52.6</v>
        <stp/>
        <stp>BDP|16692985882367441829|22</stp>
        <stp>SABIC AB Equity</stp>
        <stp>HIGH</stp>
        <tr r="M228" s="2"/>
      </tp>
      <tp>
        <v>11.96</v>
        <stp/>
        <stp>BDP|12747344645731854372|22</stp>
        <stp>ENAYA AB Equity</stp>
        <stp>HIGH</stp>
        <tr r="M179" s="2"/>
      </tp>
      <tp>
        <v>10.5</v>
        <stp/>
        <stp>BDP|16455910802552015508|22</stp>
        <stp>WALAA AB Equity</stp>
        <stp>HIGH</stp>
        <tr r="M169" s="2"/>
      </tp>
      <tp>
        <v>23.49</v>
        <stp/>
        <stp>BDP|16096310519390012568|22</stp>
        <stp>THEEB AB Equity</stp>
        <stp>HIGH</stp>
        <tr r="M286" s="2"/>
      </tp>
      <tp>
        <v>17.9435</v>
        <stp/>
        <stp>BDP|3005707865525041427|22</stp>
        <stp>TAPRCO AB Equity</stp>
        <stp>VWAP</stp>
        <tr r="N241" s="2"/>
      </tp>
      <tp>
        <v>72</v>
        <stp/>
        <stp>BDP|15753909827736911501|22</stp>
        <stp>EXTRA AB Equity</stp>
        <stp>LOW</stp>
        <tr r="L52" s="2"/>
      </tp>
      <tp>
        <v>-3.2279</v>
        <stp/>
        <stp>BDP|17317317503089771522|22</stp>
        <stp>EQUIPMEN AB Equity</stp>
        <stp>CHG_PCT_1M_RT</stp>
        <tr r="E151" s="2"/>
      </tp>
      <tp>
        <v>19.260000000000002</v>
        <stp/>
        <stp>BDP|16513685880614762759|22</stp>
        <stp>SOCCO AB Equity</stp>
        <stp>LAST_PRICE</stp>
        <tr r="B200" s="2"/>
        <tr r="C200" s="2"/>
      </tp>
      <tp>
        <v>11.43</v>
        <stp/>
        <stp>BDP|12991313741602121438|22</stp>
        <stp>ENAYA AB Equity</stp>
        <stp>BID</stp>
        <tr r="Q179" s="2"/>
      </tp>
      <tp>
        <v>-4.1055999999999999</v>
        <stp/>
        <stp>BDP|17986709698120424141|22</stp>
        <stp>ALMAJED AB Equity</stp>
        <stp>CHG_PCT_1M_RT</stp>
        <tr r="E163" s="2"/>
      </tp>
      <tp>
        <v>32.86</v>
        <stp/>
        <stp>BDP|8687150948939816255|22</stp>
        <stp>GIG AB Equity</stp>
        <stp>HIGH</stp>
        <tr r="M185" s="2"/>
      </tp>
      <tp>
        <v>690</v>
        <stp/>
        <stp>BDP|9437056285020525212|22</stp>
        <stp>ELM AB Equity</stp>
        <stp>HIGH</stp>
        <tr r="M269" s="2"/>
      </tp>
      <tp>
        <v>1.0493999719619751</v>
        <stp/>
        <stp>BDP|4208116619115808698|22</stp>
        <stp>HB AB Equity</stp>
        <stp>RT_PX_CHG_PCT_1D</stp>
        <tr r="D139" s="2"/>
      </tp>
      <tp>
        <v>43.8</v>
        <stp/>
        <stp>BDP|1002200386166865161|22</stp>
        <stp>STC AB Equity</stp>
        <stp>YEST_LAST_TRADE</stp>
        <tr r="G275" s="2"/>
      </tp>
      <tp>
        <v>228890</v>
        <stp/>
        <stp>BDP|593729777198701558|22</stp>
        <stp>RETAL AB Equity</stp>
        <stp>VOLUME</stp>
        <tr r="J250" s="2"/>
      </tp>
      <tp>
        <v>22.15</v>
        <stp/>
        <stp>BDP|9317107753076202120|22</stp>
        <stp>DERAYAH AB Equity</stp>
        <stp>BID</stp>
        <tr r="Q116" s="2"/>
      </tp>
      <tp>
        <v>2.4762</v>
        <stp/>
        <stp>BDP|6709667054813083227|22</stp>
        <stp>TALEEM AB Equity</stp>
        <stp>CHG_PCT_1M_RT</stp>
        <tr r="E112" s="2"/>
      </tp>
      <tp>
        <v>5.01</v>
        <stp/>
        <stp>BDP|16433856180563177763|22</stp>
        <stp>JOUF AB Equity</stp>
        <stp>OPEN</stp>
        <tr r="K216" s="2"/>
      </tp>
      <tp>
        <v>30.2</v>
        <stp/>
        <stp>BDP|4964269968003996976|22</stp>
        <stp>BUDGET AB Equity</stp>
        <stp>LAST_PRICE</stp>
        <tr r="C285" s="2"/>
        <tr r="B285" s="2"/>
      </tp>
      <tp>
        <v>174.93620000000001</v>
        <stp/>
        <stp>BDP|11916353904065175877|22</stp>
        <stp>BUPA AB Equity</stp>
        <stp>VWAP</stp>
        <tr r="N188" s="2"/>
      </tp>
      <tp>
        <v>44.14</v>
        <stp/>
        <stp>BDP|11518594958869165470|22</stp>
        <stp>SACO AB Equity</stp>
        <stp>LAST_PRICE</stp>
        <tr r="B45" s="2"/>
        <tr r="C45" s="2"/>
      </tp>
      <tp>
        <v>-11.2117</v>
        <stp/>
        <stp>BDP|5172828833886345065|22</stp>
        <stp>UIHC AB Equity</stp>
        <stp>CHG_PCT_1M_RT</stp>
        <tr r="E119" s="2"/>
      </tp>
      <tp>
        <v>1.8587</v>
        <stp/>
        <stp>BDP|3230012323759812893|22</stp>
        <stp>NAQI AB Equity</stp>
        <stp>CHG_PCT_1M_RT</stp>
        <tr r="E136" s="2"/>
      </tp>
      <tp>
        <v>-8.5783000000000005</v>
        <stp/>
        <stp>BDP|4112703122455056025|22</stp>
        <stp>MESC AB Equity</stp>
        <stp>CHG_PCT_1M_RT</stp>
        <tr r="E21" s="2"/>
      </tp>
      <tp>
        <v>18.62</v>
        <stp/>
        <stp>BDP|16130899893058848670|22</stp>
        <stp>ADES AB Equity</stp>
        <stp>LAST_PRICE</stp>
        <tr r="B90" s="2"/>
        <tr r="C90" s="2"/>
      </tp>
      <tp>
        <v>-14.7879</v>
        <stp/>
        <stp>BDP|17333665736146485837|22</stp>
        <stp>SPORTCLU AB Equity</stp>
        <stp>CHG_PCT_YTD_RT</stp>
        <tr r="F67" s="2"/>
      </tp>
      <tp>
        <v>3.41</v>
        <stp/>
        <stp>BDP|17820764224483107959|22</stp>
        <stp>MEFIC AB Equity</stp>
        <stp>ASK</stp>
        <tr r="R108" s="2"/>
      </tp>
      <tp>
        <v>-2.4483999999999999</v>
        <stp/>
        <stp>BDP|14224283930289901795|22</stp>
        <stp>MOUWASAT AB Equity</stp>
        <stp>CHG_PCT_1M_RT</stp>
        <tr r="E156" s="2"/>
      </tp>
      <tp>
        <v>3.4</v>
        <stp/>
        <stp>BDP|13424027746095254258|22</stp>
        <stp>MEFIC AB Equity</stp>
        <stp>BID</stp>
        <tr r="Q108" s="2"/>
      </tp>
      <tp>
        <v>40.18</v>
        <stp/>
        <stp>BDP|6963272507847057825|22</stp>
        <stp>ALAMAR AB Equity</stp>
        <stp>HIGH</stp>
        <tr r="M77" s="2"/>
      </tp>
      <tp>
        <v>22.874600000000001</v>
        <stp/>
        <stp>BDP|1163101525872714204|22</stp>
        <stp>SAWCEM AB Equity</stp>
        <stp>VWAP</stp>
        <tr r="N204" s="2"/>
      </tp>
      <tp>
        <v>-0.95889997482299805</v>
        <stp/>
        <stp>BDP|1430752363814062240|22</stp>
        <stp>EXTRA AB Equity</stp>
        <stp>RT_PX_CHG_PCT_1D</stp>
        <tr r="D52" s="2"/>
      </tp>
      <tp>
        <v>24.52</v>
        <stp/>
        <stp>BDP|2623533208245915514|22</stp>
        <stp>BCI AB Equity</stp>
        <stp>HIGH</stp>
        <tr r="M201" s="2"/>
      </tp>
      <tp>
        <v>10.95</v>
        <stp/>
        <stp>BDP|2295503573286950692|22</stp>
        <stp>ALLIANZ AB Equity</stp>
        <stp>LOW</stp>
        <tr r="L175" s="2"/>
      </tp>
      <tp>
        <v>13.6</v>
        <stp/>
        <stp>BDP|6974053770167098269|22</stp>
        <stp>SHAKER AB Equity</stp>
        <stp>YEST_LAST_TRADE</stp>
        <tr r="G18" s="2"/>
      </tp>
      <tp>
        <v>78.3</v>
        <stp/>
        <stp>BDP|4760994120632290398|22</stp>
        <stp>LEEJAM AB Equity</stp>
        <stp>LAST_PRICE</stp>
        <tr r="B71" s="2"/>
        <tr r="C71" s="2"/>
      </tp>
      <tp>
        <v>5.84</v>
        <stp/>
        <stp>BDP|5479510662074606114|22</stp>
        <stp>AOTHAIM AB Equity</stp>
        <stp>BID</stp>
        <tr r="Q82" s="2"/>
      </tp>
      <tp>
        <v>32.74</v>
        <stp/>
        <stp>BDP|9602818494900726525|22</stp>
        <stp>HB AB Equity</stp>
        <stp>BID</stp>
        <tr r="Q139" s="2"/>
      </tp>
      <tp>
        <v>20.8367</v>
        <stp/>
        <stp>BDP|12738465957799184202|22</stp>
        <stp>ARNB AB Equity</stp>
        <stp>VWAP</stp>
        <tr r="N8" s="2"/>
      </tp>
      <tp>
        <v>-1.2589999999999999</v>
        <stp/>
        <stp>BDP|9002150813498264738|22</stp>
        <stp>DALLAH AB Equity</stp>
        <stp>CHG_PCT_1M_RT</stp>
        <tr r="E160" s="2"/>
      </tp>
      <tp>
        <v>19.91</v>
        <stp/>
        <stp>BDP|14848503301032904724|22</stp>
        <stp>RIBL AB Equity</stp>
        <stp>LAST_PRICE</stp>
        <tr r="C9" s="2"/>
        <tr r="B9" s="2"/>
      </tp>
      <tp>
        <v>43.04</v>
        <stp/>
        <stp>BDP|3373176821663082242|22</stp>
        <stp>SALEHALR AB Equity</stp>
        <stp>YEST_LAST_TRADE</stp>
        <tr r="G239" s="2"/>
      </tp>
      <tp>
        <v>1.3974</v>
        <stp/>
        <stp>BDP|8251002951975858226|22</stp>
        <stp>BJAZ AB Equity</stp>
        <stp>CHG_PCT_1M_RT</stp>
        <tr r="E6" s="2"/>
      </tp>
      <tp>
        <v>156.30000000000001</v>
        <stp/>
        <stp>BDP|15130130387527137186|22</stp>
        <stp>RASAN AB Equity</stp>
        <stp>HIGH</stp>
        <tr r="M189" s="2"/>
      </tp>
      <tp>
        <v>24.082699999999999</v>
        <stp/>
        <stp>BDP|16011472518681448924|22</stp>
        <stp>ARABIANM AB Equity</stp>
        <stp>CHG_PCT_YTD_RT</stp>
        <tr r="F138" s="2"/>
      </tp>
      <tp>
        <v>18.559999999999999</v>
        <stp/>
        <stp>BDP|14892576027441820813|22</stp>
        <stp>TAIBA AB Equity</stp>
        <stp>HIGH</stp>
        <tr r="M264" s="2"/>
      </tp>
      <tp>
        <v>23.0258</v>
        <stp/>
        <stp>BDP|14910112535579929890|22</stp>
        <stp>ARCCO AB Equity</stp>
        <stp>VWAP</stp>
        <tr r="N231" s="2"/>
      </tp>
      <tp>
        <v>32.1</v>
        <stp/>
        <stp>BDP|14520507248874175755|22</stp>
        <stp>FIPCO AB Equity</stp>
        <stp>LAST_PRICE</stp>
        <tr r="C232" s="2"/>
        <tr r="B232" s="2"/>
      </tp>
      <tp>
        <v>3.1522000000000001</v>
        <stp/>
        <stp>BDP|717316196763963449|22</stp>
        <stp>MARAFIQ AB Equity</stp>
        <stp>CHG_PCT_YTD_RT</stp>
        <tr r="F288" s="2"/>
      </tp>
      <tp>
        <v>26.82</v>
        <stp/>
        <stp>BDP|2202721279611752605|22</stp>
        <stp>SCERCO AB Equity</stp>
        <stp>HIGH</stp>
        <tr r="M20" s="2"/>
      </tp>
      <tp>
        <v>51.9</v>
        <stp/>
        <stp>BDP|13408797537339937458|22</stp>
        <stp>ARCCI AB Equity</stp>
        <stp>LAST_PRICE</stp>
        <tr r="C166" s="2"/>
        <tr r="B166" s="2"/>
      </tp>
      <tp>
        <v>-0.9415</v>
        <stp/>
        <stp>BDP|989391173789615812|22</stp>
        <stp>MAHARAH AB Equity</stp>
        <stp>CHG_PCT_YTD_RT</stp>
        <tr r="F34" s="2"/>
      </tp>
      <tp>
        <v>12.34</v>
        <stp/>
        <stp>BDP|13135807309208204033|22</stp>
        <stp>NMMCC AB Equity</stp>
        <stp>LOW</stp>
        <tr r="L195" s="2"/>
      </tp>
      <tp>
        <v>-4.8201000000000001</v>
        <stp/>
        <stp>BDP|11019579385199074764|22</stp>
        <stp>TADAWULG AB Equity</stp>
        <stp>CHG_PCT_1M_RT</stp>
        <tr r="E120" s="2"/>
      </tp>
      <tp>
        <v>36.020000000000003</v>
        <stp/>
        <stp>BDP|13589202576102316601|22</stp>
        <stp>THIMAR AB Equity</stp>
        <stp>BID</stp>
        <tr r="Q83" s="2"/>
      </tp>
      <tp>
        <v>-4.3299999088048935E-2</v>
        <stp/>
        <stp>BDP|2826938014055750252|22</stp>
        <stp>ARCCO AB Equity</stp>
        <stp>RT_PX_CHG_PCT_1D</stp>
        <tr r="D231" s="2"/>
      </tp>
      <tp>
        <v>38.619999999999997</v>
        <stp/>
        <stp>BDP|4932086303121080099|22</stp>
        <stp>SNB AB Equity</stp>
        <stp>YEST_LAST_TRADE</stp>
        <tr r="G13" s="2"/>
      </tp>
      <tp>
        <v>27.04</v>
        <stp/>
        <stp>BDP|12360396176438258497|22</stp>
        <stp>ALCO AB Equity</stp>
        <stp>OPEN</stp>
        <tr r="K237" s="2"/>
      </tp>
      <tp>
        <v>11.78</v>
        <stp/>
        <stp>BDP|14354851900577753174|22</stp>
        <stp>BJAZ AB Equity</stp>
        <stp>OPEN</stp>
        <tr r="K6" s="2"/>
      </tp>
      <tp>
        <v>19.27</v>
        <stp/>
        <stp>BDP|2426618414989835761|22</stp>
        <stp>BSF AB Equity</stp>
        <stp>YEST_LAST_TRADE</stp>
        <tr r="G10" s="2"/>
      </tp>
      <tp>
        <v>9.99</v>
        <stp/>
        <stp>BDP|9122325463430778188|22</stp>
        <stp>BONYAN AB Equity</stp>
        <stp>LAST_PRICE</stp>
        <tr r="C114" s="2"/>
        <tr r="B114" s="2"/>
      </tp>
      <tp>
        <v>14.7</v>
        <stp/>
        <stp>BDP|2191459455105396382|22</stp>
        <stp>EIC AB Equity</stp>
        <stp>YEST_LAST_TRADE</stp>
        <tr r="G16" s="2"/>
      </tp>
      <tp>
        <v>59.4</v>
        <stp/>
        <stp>BDP|3748495458432349712|22</stp>
        <stp>MAADEN AB Equity</stp>
        <stp>LAST_PRICE</stp>
        <tr r="C210" s="2"/>
        <tr r="B210" s="2"/>
      </tp>
      <tp>
        <v>-11.7475</v>
        <stp/>
        <stp>BDP|7497007561282353969|22</stp>
        <stp>BUDGET AB Equity</stp>
        <stp>CHG_PCT_1M_RT</stp>
        <tr r="E285" s="2"/>
      </tp>
      <tp>
        <v>23.2774</v>
        <stp/>
        <stp>BDP|13293127960597829726|22</stp>
        <stp>FPCO AB Equity</stp>
        <stp>VWAP</stp>
        <tr r="N147" s="2"/>
      </tp>
      <tp>
        <v>-4.8594999999999997</v>
        <stp/>
        <stp>BDP|1919151055914958946|22</stp>
        <stp>ALAMAR AB Equity</stp>
        <stp>CHG_PCT_1M_RT</stp>
        <tr r="E77" s="2"/>
      </tp>
      <tp>
        <v>23.830100000000002</v>
        <stp/>
        <stp>BDP|4687672009435910959|22</stp>
        <stp>SIDC AB Equity</stp>
        <stp>CHG_PCT_1M_RT</stp>
        <tr r="E56" s="2"/>
      </tp>
      <tp>
        <v>-2.4171999999999998</v>
        <stp/>
        <stp>BDP|15088184879943308221|22</stp>
        <stp>JADWAREI AB Equity</stp>
        <stp>CHG_PCT_YTD_RT</stp>
        <tr r="F105" s="2"/>
      </tp>
      <tp>
        <v>-9.2402999999999995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C226" s="2"/>
        <tr r="B226" s="2"/>
      </tp>
      <tp>
        <v>-3.5059</v>
        <stp/>
        <stp>BDP|4517701663934600203|22</stp>
        <stp>ADCO AB Equity</stp>
        <stp>CHG_PCT_1M_RT</stp>
        <tr r="E260" s="2"/>
      </tp>
      <tp>
        <v>168723</v>
        <stp/>
        <stp>BDP|10976960877387429516|22</stp>
        <stp>TAWUNIYA AB Equity</stp>
        <stp>VOLUME</stp>
        <tr r="J183" s="2"/>
      </tp>
      <tp>
        <v>25.726500000000001</v>
        <stp/>
        <stp>BDP|13802211645357772944|22</stp>
        <stp>TAWUNIYA AB Equity</stp>
        <stp>CHG_PCT_YTD_RT</stp>
        <tr r="F183" s="2"/>
      </tp>
      <tp>
        <v>169.6</v>
        <stp/>
        <stp>BDP|17699124026518311372|22</stp>
        <stp>SCACO AB Equity</stp>
        <stp>HIGH</stp>
        <tr r="M28" s="2"/>
      </tp>
      <tp>
        <v>18.670000000000002</v>
        <stp/>
        <stp>BDP|3782841975883122283|22</stp>
        <stp>ADES AB Equity</stp>
        <stp>ASK</stp>
        <tr r="R90" s="2"/>
      </tp>
      <tp>
        <v>15.5245</v>
        <stp/>
        <stp>BDP|12524734504123034631|22</stp>
        <stp>SRECO AB Equity</stp>
        <stp>VWAP</stp>
        <tr r="N254" s="2"/>
      </tp>
      <tp>
        <v>11.66</v>
        <stp/>
        <stp>BDP|6726506916594309838|22</stp>
        <stp>BJAZ AB Equity</stp>
        <stp>ASK</stp>
        <tr r="R6" s="2"/>
      </tp>
      <tp>
        <v>5.3060999999999998</v>
        <stp/>
        <stp>BDP|3696138693243849004|22</stp>
        <stp>JOUF AB Equity</stp>
        <stp>CHG_PCT_1M_RT</stp>
        <tr r="E216" s="2"/>
      </tp>
      <tp>
        <v>-6.3941999999999997</v>
        <stp/>
        <stp>BDP|14491204025670779269|22</stp>
        <stp>RESEARCH AB Equity</stp>
        <stp>CHG_PCT_1M_RT</stp>
        <tr r="E242" s="2"/>
      </tp>
      <tp>
        <v>11.2</v>
        <stp/>
        <stp>BDP|4445991985154900941|22</stp>
        <stp>SAPTCO AB Equity</stp>
        <stp>OPEN</stp>
        <tr r="K279" s="2"/>
      </tp>
      <tp>
        <v>5.21</v>
        <stp/>
        <stp>BDP|17405561407947175359|22</stp>
        <stp>KAYAN AB Equity</stp>
        <stp>ASK</stp>
        <tr r="R198" s="2"/>
      </tp>
      <tp>
        <v>3.05</v>
        <stp/>
        <stp>BDP|17132845588184655102|22</stp>
        <stp>BANAN AB Equity</stp>
        <stp>BID</stp>
        <tr r="Q256" s="2"/>
      </tp>
      <tp>
        <v>52.1</v>
        <stp/>
        <stp>BDP|13088407553426582960|22</stp>
        <stp>ARCCI AB Equity</stp>
        <stp>ASK</stp>
        <tr r="R166" s="2"/>
      </tp>
      <tp>
        <v>54.2</v>
        <stp/>
        <stp>BDP|15039098840675844351|22</stp>
        <stp>SARCO AB Equity</stp>
        <stp>LAST_PRICE</stp>
        <tr r="C93" s="2"/>
        <tr r="B93" s="2"/>
      </tp>
      <tp>
        <v>0.36129999160766602</v>
        <stp/>
        <stp>BDP|4190056067168854220|22</stp>
        <stp>LAZURDE AB Equity</stp>
        <stp>RT_PX_CHG_PCT_1D</stp>
        <tr r="D57" s="2"/>
      </tp>
      <tp>
        <v>28.56</v>
        <stp/>
        <stp>BDP|5602051898053821873|22</stp>
        <stp>SRE AB Equity</stp>
        <stp>HIGH</stp>
        <tr r="M251" s="2"/>
      </tp>
      <tp>
        <v>-2.8571</v>
        <stp/>
        <stp>BDP|18051109808784747626|22</stp>
        <stp>ALMOOSA AB Equity</stp>
        <stp>CHG_PCT_1M_RT</stp>
        <tr r="E155" s="2"/>
      </tp>
      <tp>
        <v>32.46</v>
        <stp/>
        <stp>BDP|8342244968429073661|22</stp>
        <stp>GIG AB Equity</stp>
        <stp>YEST_LAST_TRADE</stp>
        <tr r="G185" s="2"/>
      </tp>
      <tp>
        <v>10.756</v>
        <stp/>
        <stp>BDP|4249611671677886356|22</stp>
        <stp>THIMAR AB Equity</stp>
        <stp>CHG_PCT_1M_RT</stp>
        <tr r="E83" s="2"/>
      </tp>
      <tp>
        <v>13.91</v>
        <stp/>
        <stp>BDP|5473640362643443368|22</stp>
        <stp>CENOMI AB Equity</stp>
        <stp>LAST_PRICE</stp>
        <tr r="C49" s="2"/>
        <tr r="B49" s="2"/>
      </tp>
      <tp>
        <v>1.6215999999999999</v>
        <stp/>
        <stp>BDP|1157884774976425754|22</stp>
        <stp>ALINMA AB Equity</stp>
        <stp>CHG_PCT_1M_RT</stp>
        <tr r="E4" s="2"/>
      </tp>
      <tp>
        <v>32</v>
        <stp/>
        <stp>BDP|3377475308677067596|22</stp>
        <stp>HB AB Equity</stp>
        <stp>LOW</stp>
        <tr r="L139" s="2"/>
      </tp>
      <tp>
        <v>11.11</v>
        <stp/>
        <stp>BDP|9338117467604413110|22</stp>
        <stp>LAZURDE AB Equity</stp>
        <stp>BID</stp>
        <tr r="Q57" s="2"/>
      </tp>
      <tp>
        <v>7.5</v>
        <stp/>
        <stp>BDP|17956369391536777299|22</stp>
        <stp>MRNA AB Equity</stp>
        <stp>OPEN</stp>
        <tr r="K124" s="2"/>
      </tp>
      <tp>
        <v>3.6166</v>
        <stp/>
        <stp>BDP|10787478352737472486|22</stp>
        <stp>ALKHABEE AB Equity</stp>
        <stp>CHG_PCT_YTD_RT</stp>
        <tr r="F110" s="2"/>
      </tp>
      <tp>
        <v>1069134</v>
        <stp/>
        <stp>BDP|12702081929522142211|22</stp>
        <stp>ALMAJDIA AB Equity</stp>
        <stp>VOLUME</stp>
        <tr r="J261" s="2"/>
      </tp>
      <tp>
        <v>0.46810001134872437</v>
        <stp/>
        <stp>BDP|11069946310065558429|22</stp>
        <stp>ALMASARA AB Equity</stp>
        <stp>RT_PX_CHG_PCT_1D</stp>
        <tr r="D78" s="2"/>
      </tp>
      <tp>
        <v>0.79300000000000004</v>
        <stp/>
        <stp>BDP|575454387862988692|22</stp>
        <stp>ENAYA AB Equity</stp>
        <stp>CHG_PCT_1M_RT</stp>
        <tr r="E179" s="2"/>
      </tp>
      <tp>
        <v>28.906300000000002</v>
        <stp/>
        <stp>BDP|1299522706304301706|22</stp>
        <stp>SAVOLA AB Equity</stp>
        <stp>VWAP</stp>
        <tr r="N143" s="2"/>
      </tp>
      <tp>
        <v>24.59</v>
        <stp/>
        <stp>BDP|16466168911078850636|22</stp>
        <stp>ENTAJ AB Equity</stp>
        <stp>BID</stp>
        <tr r="Q129" s="2"/>
      </tp>
      <tp>
        <v>2.71</v>
        <stp/>
        <stp>BDP|11974710355400174317|22</stp>
        <stp>OASIS AB Equity</stp>
        <stp>LAST_PRICE</stp>
        <tr r="B207" s="2"/>
        <tr r="C207" s="2"/>
      </tp>
      <tp>
        <v>180.1</v>
        <stp/>
        <stp>BDP|3631065449106717407|22</stp>
        <stp>SAL AB Equity</stp>
        <stp>HIGH</stp>
        <tr r="M282" s="2"/>
      </tp>
      <tp>
        <v>11.81</v>
        <stp/>
        <stp>BDP|17247144464055335295|22</stp>
        <stp>PETROR AB Equity</stp>
        <stp>LOW</stp>
        <tr r="L89" s="2"/>
      </tp>
      <tp>
        <v>685.5</v>
        <stp/>
        <stp>BDP|8445541530061137638|22</stp>
        <stp>ELM AB Equity</stp>
        <stp>YEST_LAST_TRADE</stp>
        <tr r="G269" s="2"/>
      </tp>
      <tp>
        <v>8.56</v>
        <stp/>
        <stp>BDP|18132404531028709625|22</stp>
        <stp>AICC AB Equity</stp>
        <stp>OPEN</stp>
        <tr r="K168" s="2"/>
      </tp>
      <tp>
        <v>18</v>
        <stp/>
        <stp>BDP|14773824608527140501|22</stp>
        <stp>SECO AB Equity</stp>
        <stp>HIGH</stp>
        <tr r="M291" s="2"/>
      </tp>
      <tp>
        <v>23.939699999999998</v>
        <stp/>
        <stp>BDP|17945693276094495266|22</stp>
        <stp>APPC AB Equity</stp>
        <stp>VWAP</stp>
        <tr r="N233" s="2"/>
      </tp>
      <tp>
        <v>9</v>
        <stp/>
        <stp>BDP|9512482768500124591|22</stp>
        <stp>MAATHER AB Equity</stp>
        <stp>BID</stp>
        <tr r="Q106" s="2"/>
      </tp>
      <tp>
        <v>55.8</v>
        <stp/>
        <stp>BDP|2074743011181908648|22</stp>
        <stp>ALRAMZ AB Equity</stp>
        <stp>LAST_PRICE</stp>
        <tr r="C265" s="2"/>
        <tr r="B265" s="2"/>
      </tp>
      <tp>
        <v>21.14</v>
        <stp/>
        <stp>BDP|13148588588851694464|22</stp>
        <stp>ARNB AB Equity</stp>
        <stp>OPEN</stp>
        <tr r="K8" s="2"/>
      </tp>
      <tp>
        <v>71.2</v>
        <stp/>
        <stp>BDP|12928107648265475712|22</stp>
        <stp>AMAK AB Equity</stp>
        <stp>LAST_PRICE</stp>
        <tr r="C196" s="2"/>
        <tr r="B196" s="2"/>
      </tp>
      <tp>
        <v>18.62</v>
        <stp/>
        <stp>BDP|2826121655225846324|22</stp>
        <stp>ADES AB Equity</stp>
        <stp>BID</stp>
        <tr r="Q90" s="2"/>
      </tp>
      <tp>
        <v>24.95</v>
        <stp/>
        <stp>BDP|12770059758724387316|22</stp>
        <stp>ENTAJ AB Equity</stp>
        <stp>HIGH</stp>
        <tr r="M129" s="2"/>
      </tp>
      <tp>
        <v>9.8099999129772186E-2</v>
        <stp/>
        <stp>BDP|14992092295707793820|22</stp>
        <stp>ALMAWARI AB Equity</stp>
        <stp>RT_PX_CHG_PCT_1D</stp>
        <tr r="D38" s="2"/>
      </tp>
      <tp>
        <v>-0.7160000205039978</v>
        <stp/>
        <stp>BDP|13376294354005082151|22</stp>
        <stp>FOURTHMI AB Equity</stp>
        <stp>RT_PX_CHG_PCT_1D</stp>
        <tr r="D132" s="2"/>
      </tp>
      <tp>
        <v>-8.9893000000000001</v>
        <stp/>
        <stp>BDP|7367213179674231673|22</stp>
        <stp>MEPC AB Equity</stp>
        <stp>CHG_PCT_1M_RT</stp>
        <tr r="E197" s="2"/>
      </tp>
      <tp>
        <v>0.52999997138977051</v>
        <stp/>
        <stp>BDP|16457107710415929506|22</stp>
        <stp>DERAYAHR AB Equity</stp>
        <stp>RT_PX_CHG_PCT_1D</stp>
        <tr r="D104" s="2"/>
      </tp>
      <tp>
        <v>93</v>
        <stp/>
        <stp>BDP|17083157314794914524|22</stp>
        <stp>NAHDI AB Equity</stp>
        <stp>LAST_PRICE</stp>
        <tr r="C86" s="2"/>
        <tr r="B86" s="2"/>
      </tp>
      <tp>
        <v>93.4</v>
        <stp/>
        <stp>BDP|18372257141201893290|22</stp>
        <stp>NAHDI AB Equity</stp>
        <stp>ASK</stp>
        <tr r="R86" s="2"/>
      </tp>
      <tp>
        <v>12.66</v>
        <stp/>
        <stp>BDP|10526349265963190671|22</stp>
        <stp>NMMCC AB Equity</stp>
        <stp>LAST_PRICE</stp>
        <tr r="C195" s="2"/>
        <tr r="B195" s="2"/>
      </tp>
      <tp>
        <v>8.86</v>
        <stp/>
        <stp>BDP|18007441901953386012|22</stp>
        <stp>AMLAK AB Equity</stp>
        <stp>ASK</stp>
        <tr r="R122" s="2"/>
      </tp>
      <tp>
        <v>1.9818999767303467</v>
        <stp/>
        <stp>BDP|7262022510028734839|22</stp>
        <stp>ALARKAN AB Equity</stp>
        <stp>RT_PX_CHG_PCT_1D</stp>
        <tr r="D255" s="2"/>
      </tp>
      <tp>
        <v>2.2599999999999998</v>
        <stp/>
        <stp>BDP|15583277594798419377|22</stp>
        <stp>BATIC AB Equity</stp>
        <stp>ASK</stp>
        <tr r="R26" s="2"/>
      </tp>
      <tp>
        <v>-1.99</v>
        <stp/>
        <stp>BDP|15985600118296612707|22</stp>
        <stp>MUSHREIT AB Equity</stp>
        <stp>CHG_PCT_1M_RT</stp>
        <tr r="E103" s="2"/>
      </tp>
      <tp>
        <v>6.81</v>
        <stp/>
        <stp>BDP|6120055995182584609|22</stp>
        <stp>ALSAIF AB Equity</stp>
        <stp>OPEN</stp>
        <tr r="K50" s="2"/>
      </tp>
      <tp>
        <v>-4.5077999999999996</v>
        <stp/>
        <stp>BDP|568432125442544300|22</stp>
        <stp>ARCCI AB Equity</stp>
        <stp>CHG_PCT_1M_RT</stp>
        <tr r="E166" s="2"/>
      </tp>
      <tp>
        <v>29.82</v>
        <stp/>
        <stp>BDP|3377557797960745123|22</stp>
        <stp>NASEEJ AB Equity</stp>
        <stp>OPEN</stp>
        <tr r="K55" s="2"/>
      </tp>
      <tp>
        <v>0.16689999999999999</v>
        <stp/>
        <stp>BDP|10904305114118334161|22</stp>
        <stp>ALARKAN AB Equity</stp>
        <stp>CHG_PCT_1M_RT</stp>
        <tr r="E255" s="2"/>
      </tp>
      <tp>
        <v>4.5999999999999996</v>
        <stp/>
        <stp>BDP|11494813182745003319|22</stp>
        <stp>MULKIA AB Equity</stp>
        <stp>LOW</stp>
        <tr r="L100" s="2"/>
      </tp>
      <tp>
        <v>0</v>
        <stp/>
        <stp>BDP|1090442413604628890|22</stp>
        <stp>SRECO AB Equity</stp>
        <stp>RT_PX_CHG_PCT_1D</stp>
        <tr r="D254" s="2"/>
      </tp>
      <tp>
        <v>71.55</v>
        <stp/>
        <stp>BDP|537083672446199805|22</stp>
        <stp>RAOOM AB Equity</stp>
        <stp>ASK</stp>
        <tr r="R19" s="2"/>
      </tp>
      <tp>
        <v>18.840599999999998</v>
        <stp/>
        <stp>BDP|15381082992835164347|22</stp>
        <stp>ALABDUL AB Equity</stp>
        <stp>CHG_PCT_1M_RT</stp>
        <tr r="E58" s="2"/>
      </tp>
      <tp>
        <v>55.55</v>
        <stp/>
        <stp>BDP|16154669346836248788|22</stp>
        <stp>ALRAMZ AB Equity</stp>
        <stp>LOW</stp>
        <tr r="L265" s="2"/>
      </tp>
      <tp>
        <v>8.7799999999999994</v>
        <stp/>
        <stp>BDP|17477283114875630760|22</stp>
        <stp>ATTMCO AB Equity</stp>
        <stp>BID</stp>
        <tr r="Q131" s="2"/>
      </tp>
      <tp>
        <v>188.9</v>
        <stp/>
        <stp>BDP|11249778561626221238|22</stp>
        <stp>ACWA AB Equity</stp>
        <stp>OPEN</stp>
        <tr r="K289" s="2"/>
      </tp>
      <tp>
        <v>109.8</v>
        <stp/>
        <stp>BDP|9779595167008086807|22</stp>
        <stp>DALLAH AB Equity</stp>
        <stp>LAST_PRICE</stp>
        <tr r="C160" s="2"/>
        <tr r="B160" s="2"/>
      </tp>
      <tp>
        <v>54</v>
        <stp/>
        <stp>BDP|14371558211779244811|22</stp>
        <stp>NAQI AB Equity</stp>
        <stp>OPEN</stp>
        <tr r="K136" s="2"/>
      </tp>
      <tp>
        <v>19.100000000000001</v>
        <stp/>
        <stp>BDP|1941465610764356352|22</stp>
        <stp>ACE AB Equity</stp>
        <stp>YEST_LAST_TRADE</stp>
        <tr r="G177" s="2"/>
      </tp>
      <tp>
        <v>8.44</v>
        <stp/>
        <stp>BDP|7049445766859314240|22</stp>
        <stp>GIZACO AB Equity</stp>
        <stp>LAST_PRICE</stp>
        <tr r="C133" s="2"/>
        <tr r="B133" s="2"/>
      </tp>
      <tp>
        <v>13.58</v>
        <stp/>
        <stp>BDP|11096291552414626266|22</stp>
        <stp>SIIG AB Equity</stp>
        <stp>HIGH</stp>
        <tr r="M227" s="2"/>
      </tp>
      <tp>
        <v>26.12</v>
        <stp/>
        <stp>BDP|1090905678065929556|22</stp>
        <stp>ARAMCO AB Equity</stp>
        <stp>LAST_PRICE</stp>
        <tr r="B92" s="2"/>
        <tr r="C92" s="2"/>
      </tp>
      <tp>
        <v>5</v>
        <stp/>
        <stp>BDP|5187049315862604555|22</stp>
        <stp>RYDREIT AB Equity</stp>
        <stp>LOW</stp>
        <tr r="L111" s="2"/>
      </tp>
      <tp>
        <v>-5.1561000000000003</v>
        <stp/>
        <stp>BDP|6843239686251927362|22</stp>
        <stp>ARAMCO AB Equity</stp>
        <stp>CHG_PCT_1M_RT</stp>
        <tr r="E92" s="2"/>
      </tp>
      <tp>
        <v>-2.0192999999999999</v>
        <stp/>
        <stp>BDP|6806032763894396210|22</stp>
        <stp>ALRAMZ AB Equity</stp>
        <stp>CHG_PCT_1M_RT</stp>
        <tr r="E265" s="2"/>
      </tp>
      <tp>
        <v>-7.4633000000000003</v>
        <stp/>
        <stp>BDP|3749874396647400056|22</stp>
        <stp>SACO AB Equity</stp>
        <stp>CHG_PCT_1M_RT</stp>
        <tr r="E45" s="2"/>
      </tp>
      <tp>
        <v>0</v>
        <stp/>
        <stp>BDP|2499297925471308631|22</stp>
        <stp>NAMA AB Equity</stp>
        <stp>CHG_PCT_1M_RT</stp>
        <tr r="E226" s="2"/>
      </tp>
      <tp>
        <v>18.537400000000002</v>
        <stp/>
        <stp>BDP|7083239020137958784|22</stp>
        <stp>ACIG AB Equity</stp>
        <stp>CHG_PCT_1M_RT</stp>
        <tr r="E170" s="2"/>
      </tp>
      <tp>
        <v>147.5</v>
        <stp/>
        <stp>BDP|7322685147956354171|22</stp>
        <stp>TAWUNIYA AB Equity</stp>
        <stp>YEST_LAST_TRADE</stp>
        <tr r="G183" s="2"/>
      </tp>
      <tp>
        <v>155.4</v>
        <stp/>
        <stp>BDP|5113424250428751200|22</stp>
        <stp>JAMJOOMP AB Equity</stp>
        <stp>YEST_LAST_TRADE</stp>
        <tr r="G248" s="2"/>
      </tp>
      <tp>
        <v>3.96</v>
        <stp/>
        <stp>BDP|570349761937341580|22</stp>
        <stp>GGCI AB Equity</stp>
        <stp>HIGH</stp>
        <tr r="M187" s="2"/>
      </tp>
      <tp>
        <v>1.6771</v>
        <stp/>
        <stp>BDP|6010498736126703070|22</stp>
        <stp>ACWA AB Equity</stp>
        <stp>CHG_PCT_1M_RT</stp>
        <tr r="E289" s="2"/>
      </tp>
      <tp>
        <v>214968</v>
        <stp/>
        <stp>BDP|17904455263502609681|22</stp>
        <stp>ALINMAHO AB Equity</stp>
        <stp>VOLUME</stp>
        <tr r="J97" s="2"/>
      </tp>
      <tp>
        <v>11.61</v>
        <stp/>
        <stp>BDP|12388166960633566452|22</stp>
        <stp>BJAZ AB Equity</stp>
        <stp>LAST_PRICE</stp>
        <tr r="C6" s="2"/>
        <tr r="B6" s="2"/>
      </tp>
      <tp>
        <v>30.72</v>
        <stp/>
        <stp>BDP|15187809733245959547|22</stp>
        <stp>SACCO AB Equity</stp>
        <stp>HIGH</stp>
        <tr r="M229" s="2"/>
      </tp>
      <tp>
        <v>-0.13940000534057617</v>
        <stp/>
        <stp>BDP|13475629538980097090|22</stp>
        <stp>SALEHALR AB Equity</stp>
        <stp>RT_PX_CHG_PCT_1D</stp>
        <tr r="D239" s="2"/>
      </tp>
      <tp>
        <v>13.9</v>
        <stp/>
        <stp>BDP|10879394470966927715|22</stp>
        <stp>ASACO AB Equity</stp>
        <stp>OPEN</stp>
        <tr r="K127" s="2"/>
      </tp>
      <tp>
        <v>82.95</v>
        <stp/>
        <stp>BDP|17505945593204190065|22</stp>
        <stp>MCDCO AB Equity</stp>
        <stp>LAST_PRICE</stp>
        <tr r="B257" s="2"/>
        <tr r="C257" s="2"/>
      </tp>
      <tp>
        <v>40.299999999999997</v>
        <stp/>
        <stp>BDP|14549159269024923191|22</stp>
        <stp>BAWAN AB Equity</stp>
        <stp>ASK</stp>
        <tr r="R22" s="2"/>
      </tp>
      <tp>
        <v>43.9</v>
        <stp/>
        <stp>BDP|16817670947083965227|22</stp>
        <stp>JADCO AB Equity</stp>
        <stp>ASK</stp>
        <tr r="R145" s="2"/>
      </tp>
      <tp>
        <v>12.68</v>
        <stp/>
        <stp>BDP|15104734882006197448|22</stp>
        <stp>NMMCC AB Equity</stp>
        <stp>ASK</stp>
        <tr r="R195" s="2"/>
      </tp>
      <tp>
        <v>16.760000000000002</v>
        <stp/>
        <stp>BDP|11895774190062043428|22</stp>
        <stp>JARIR AB Equity</stp>
        <stp>LAST_PRICE</stp>
        <tr r="B51" s="2"/>
        <tr r="C51" s="2"/>
      </tp>
      <tp>
        <v>42.08</v>
        <stp/>
        <stp>BDP|10668453240333667265|22</stp>
        <stp>JADCO AB Equity</stp>
        <stp>LOW</stp>
        <tr r="L145" s="2"/>
      </tp>
      <tp>
        <v>15.15</v>
        <stp/>
        <stp>BDP|16881382980561266305|22</stp>
        <stp>ASACO AB Equity</stp>
        <stp>ASK</stp>
        <tr r="R127" s="2"/>
      </tp>
      <tp>
        <v>12.66</v>
        <stp/>
        <stp>BDP|17536238819815167120|22</stp>
        <stp>NMMCC AB Equity</stp>
        <stp>BID</stp>
        <tr r="Q195" s="2"/>
      </tp>
      <tp>
        <v>-3.1972</v>
        <stp/>
        <stp>BDP|13755184730288290808|22</stp>
        <stp>JADWAREI AB Equity</stp>
        <stp>CHG_PCT_1M_RT</stp>
        <tr r="E105" s="2"/>
      </tp>
      <tp>
        <v>13.91</v>
        <stp/>
        <stp>BDP|13051985093381291719|22</stp>
        <stp>SHAKER AB Equity</stp>
        <stp>ASK</stp>
        <tr r="R18" s="2"/>
      </tp>
      <tp>
        <v>21.7</v>
        <stp/>
        <stp>BDP|3929030646099073526|22</stp>
        <stp>AZM AB Equity</stp>
        <stp>HIGH</stp>
        <tr r="M271" s="2"/>
      </tp>
      <tp>
        <v>23.8</v>
        <stp/>
        <stp>BDP|6573137461714745347|22</stp>
        <stp>BCI AB Equity</stp>
        <stp>YEST_LAST_TRADE</stp>
        <tr r="G201" s="2"/>
      </tp>
      <tp>
        <v>13.4848</v>
        <stp/>
        <stp>BDP|6243506467098449901|22</stp>
        <stp>RAYDAN AB Equity</stp>
        <stp>CHG_PCT_1M_RT</stp>
        <tr r="E73" s="2"/>
      </tp>
      <tp>
        <v>17.29</v>
        <stp/>
        <stp>BDP|10706459210013390853|22</stp>
        <stp>SAIC AB Equity</stp>
        <stp>HIGH</stp>
        <tr r="M117" s="2"/>
      </tp>
      <tp>
        <v>6.9394999999999998</v>
        <stp/>
        <stp>BDP|17892241994721730456|22</stp>
        <stp>ACIG AB Equity</stp>
        <stp>VWAP</stp>
        <tr r="N170" s="2"/>
      </tp>
      <tp>
        <v>-2.1053000000000002</v>
        <stp/>
        <stp>BDP|261458239597125491|22</stp>
        <stp>NAHDI AB Equity</stp>
        <stp>CHG_PCT_YTD_RT</stp>
        <tr r="F86" s="2"/>
      </tp>
      <tp>
        <v>8.4158000000000008</v>
        <stp/>
        <stp>BDP|15110654920634411470|22</stp>
        <stp>GIZACO AB Equity</stp>
        <stp>VWAP</stp>
        <tr r="N133" s="2"/>
      </tp>
      <tp t="s">
        <v>#N/A Requesting Data...3661704923</v>
        <stp/>
        <stp>BDP|8847259273096537713</stp>
        <tr r="I259" s="2"/>
      </tp>
      <tp t="s">
        <v>#N/A Requesting Data...3994614788</v>
        <stp/>
        <stp>BDP|3325426189497186434</stp>
        <tr r="X131" s="2"/>
      </tp>
      <tp t="s">
        <v>#N/A Requesting Data...4135347490</v>
        <stp/>
        <stp>BDP|5444205589321498235</stp>
        <tr r="T69" s="2"/>
      </tp>
      <tp t="s">
        <v>#N/A Requesting Data...4008247927</v>
        <stp/>
        <stp>BDP|1952276191255515306</stp>
        <tr r="U63" s="2"/>
      </tp>
      <tp t="s">
        <v>#N/A N/A</v>
        <stp/>
        <stp>BDH|7697945676510670584</stp>
        <tr r="V148" s="2"/>
      </tp>
      <tp t="s">
        <v>#N/A Requesting Data...3696670355</v>
        <stp/>
        <stp>BDP|6347251320559587384</stp>
        <tr r="T52" s="2"/>
      </tp>
      <tp t="s">
        <v>#N/A Requesting Data...3677699818</v>
        <stp/>
        <stp>BDP|8707201571246513781</stp>
        <tr r="P281" s="2"/>
      </tp>
      <tp t="s">
        <v>#N/A Requesting Data...4120257458</v>
        <stp/>
        <stp>BDP|7019917037068424996</stp>
        <tr r="X96" s="2"/>
      </tp>
      <tp t="s">
        <v>#N/A Requesting Data...4207018178</v>
        <stp/>
        <stp>BDP|2567523410242955857</stp>
        <tr r="I5" s="2"/>
      </tp>
      <tp t="s">
        <v>#N/A Requesting Data...3929291761</v>
        <stp/>
        <stp>BDP|8665993868602760989</stp>
        <tr r="T117" s="2"/>
      </tp>
      <tp t="s">
        <v>#N/A Requesting Data...3683774866</v>
        <stp/>
        <stp>BDP|2760399603635269870</stp>
        <tr r="S67" s="2"/>
      </tp>
      <tp t="s">
        <v>#N/A Requesting Data...3878479738</v>
        <stp/>
        <stp>BDP|5141128731913912835</stp>
        <tr r="P134" s="2"/>
      </tp>
      <tp t="s">
        <v>#N/A Requesting Data...3661399699</v>
        <stp/>
        <stp>BDP|4743192784746422763</stp>
        <tr r="U58" s="2"/>
      </tp>
      <tp t="s">
        <v>#N/A N/A</v>
        <stp/>
        <stp>BDH|5971882441566053388</stp>
        <tr r="V237" s="2"/>
      </tp>
      <tp t="s">
        <v>#N/A Requesting Data...3874419066</v>
        <stp/>
        <stp>BDP|4527889232224702718</stp>
        <tr r="T107" s="2"/>
      </tp>
      <tp t="s">
        <v>#N/A Requesting Data...3648711838</v>
        <stp/>
        <stp>BDP|1157872185149305490</stp>
        <tr r="O168" s="2"/>
      </tp>
      <tp t="s">
        <v>#N/A Requesting Data...4218606404</v>
        <stp/>
        <stp>BDP|7813652087981609427</stp>
        <tr r="S248" s="2"/>
      </tp>
      <tp t="s">
        <v>#N/A Requesting Data...4090283183</v>
        <stp/>
        <stp>BDP|1487288292122659462</stp>
        <tr r="P183" s="2"/>
      </tp>
      <tp t="s">
        <v>#N/A N/A</v>
        <stp/>
        <stp>BDH|5974750186675782339</stp>
        <tr r="V66" s="2"/>
      </tp>
      <tp t="s">
        <v>#N/A N/A</v>
        <stp/>
        <stp>BDH|8322745238405107506</stp>
        <tr r="V125" s="2"/>
      </tp>
      <tp t="s">
        <v>#N/A Requesting Data...4275653403</v>
        <stp/>
        <stp>BDP|1629025016869589586</stp>
        <tr r="S291" s="2"/>
      </tp>
      <tp t="s">
        <v>#N/A Requesting Data...3655519754</v>
        <stp/>
        <stp>BDP|3951871970799046916</stp>
        <tr r="H290" s="2"/>
      </tp>
      <tp t="s">
        <v>#N/A Requesting Data...3835373882</v>
        <stp/>
        <stp>BDP|8260148458311456174</stp>
        <tr r="O91" s="2"/>
      </tp>
      <tp t="s">
        <v>#N/A Requesting Data...4183167621</v>
        <stp/>
        <stp>BDP|8438682585959607324</stp>
        <tr r="O15" s="2"/>
      </tp>
      <tp t="s">
        <v>#N/A Requesting Data...4121110417</v>
        <stp/>
        <stp>BDP|4594590077709186377</stp>
        <tr r="P140" s="2"/>
      </tp>
      <tp t="s">
        <v>#N/A Requesting Data...4239233836</v>
        <stp/>
        <stp>BDP|5348582817379101406</stp>
        <tr r="S213" s="2"/>
      </tp>
      <tp t="s">
        <v>#N/A Requesting Data...4208449843</v>
        <stp/>
        <stp>BDP|5764131888452494258</stp>
        <tr r="P205" s="2"/>
      </tp>
      <tp t="s">
        <v>#N/A Requesting Data...3737562702</v>
        <stp/>
        <stp>BDP|5228002653989099539</stp>
        <tr r="O272" s="2"/>
      </tp>
      <tp t="s">
        <v>#N/A Requesting Data...4146913301</v>
        <stp/>
        <stp>BDP|6045788681601834432</stp>
        <tr r="T250" s="2"/>
      </tp>
      <tp t="s">
        <v>#N/A Requesting Data...4280984997</v>
        <stp/>
        <stp>BDP|5252444676312508873</stp>
        <tr r="P275" s="2"/>
      </tp>
      <tp t="s">
        <v>#N/A Requesting Data...3846451339</v>
        <stp/>
        <stp>BDP|7742917374872707765</stp>
        <tr r="S189" s="2"/>
      </tp>
      <tp t="s">
        <v>#N/A Requesting Data...4276221229</v>
        <stp/>
        <stp>BDP|4088380441349307698</stp>
        <tr r="O280" s="2"/>
      </tp>
      <tp t="s">
        <v>#N/A Requesting Data...4052776634</v>
        <stp/>
        <stp>BDP|7781878432480519047</stp>
        <tr r="H253" s="2"/>
      </tp>
      <tp t="s">
        <v>#N/A Requesting Data...3967330198</v>
        <stp/>
        <stp>BDP|6385095873985323894</stp>
        <tr r="P289" s="2"/>
      </tp>
      <tp t="s">
        <v>#N/A Requesting Data...4271931240</v>
        <stp/>
        <stp>BDP|2161680018240158934</stp>
        <tr r="U5" s="2"/>
      </tp>
      <tp t="s">
        <v>#N/A Requesting Data...4136021668</v>
        <stp/>
        <stp>BDP|7261723188501073588</stp>
        <tr r="S279" s="2"/>
      </tp>
      <tp t="s">
        <v>#N/A Requesting Data...3823949492</v>
        <stp/>
        <stp>BDP|3842039894694975262</stp>
        <tr r="P272" s="2"/>
      </tp>
      <tp t="s">
        <v>#N/A Requesting Data...4115878520</v>
        <stp/>
        <stp>BDP|2371064192045404236</stp>
        <tr r="I87" s="2"/>
      </tp>
      <tp t="s">
        <v>#N/A Requesting Data...3806217013</v>
        <stp/>
        <stp>BDP|7832307362179966737</stp>
        <tr r="S207" s="2"/>
      </tp>
      <tp t="s">
        <v>#N/A Requesting Data...4013083162</v>
        <stp/>
        <stp>BDP|1912198162712712844</stp>
        <tr r="H52" s="2"/>
      </tp>
      <tp t="s">
        <v>#N/A Requesting Data...3816980745</v>
        <stp/>
        <stp>BDP|7255014922150490942</stp>
        <tr r="I232" s="2"/>
      </tp>
      <tp t="s">
        <v>#N/A Requesting Data...3897335047</v>
        <stp/>
        <stp>BDP|4410263224268560025</stp>
        <tr r="I261" s="2"/>
      </tp>
      <tp t="s">
        <v>#N/A Requesting Data...4150734193</v>
        <stp/>
        <stp>BDP|7636520525204607866</stp>
        <tr r="X51" s="2"/>
      </tp>
      <tp t="s">
        <v>#N/A Requesting Data...4144597508</v>
        <stp/>
        <stp>BDP|8274097177322881122</stp>
        <tr r="H74" s="2"/>
      </tp>
      <tp t="s">
        <v>#N/A Requesting Data...3739898103</v>
        <stp/>
        <stp>BDP|9305489819094028442</stp>
        <tr r="X279" s="2"/>
      </tp>
      <tp t="s">
        <v>#N/A Requesting Data...4092679829</v>
        <stp/>
        <stp>BDP|1102253290617388117</stp>
        <tr r="H58" s="2"/>
      </tp>
      <tp t="s">
        <v>#N/A Requesting Data...4145546263</v>
        <stp/>
        <stp>BDP|3301842452465483770</stp>
        <tr r="U169" s="2"/>
      </tp>
      <tp t="s">
        <v>#N/A Requesting Data...3799599731</v>
        <stp/>
        <stp>BDP|6531874135029426854</stp>
        <tr r="U35" s="2"/>
      </tp>
      <tp t="s">
        <v>#N/A Requesting Data...4015822604</v>
        <stp/>
        <stp>BDP|2755073380645714310</stp>
        <tr r="P211" s="2"/>
      </tp>
      <tp t="s">
        <v>#N/A Requesting Data...3991375164</v>
        <stp/>
        <stp>BDP|5510270559399917742</stp>
        <tr r="T288" s="2"/>
      </tp>
      <tp t="s">
        <v>#N/A Requesting Data...3693218497</v>
        <stp/>
        <stp>BDP|4541542247230573954</stp>
        <tr r="H282" s="2"/>
      </tp>
      <tp t="s">
        <v>#N/A Requesting Data...4223573274</v>
        <stp/>
        <stp>BDP|6481745990672491625</stp>
        <tr r="I169" s="2"/>
      </tp>
      <tp t="s">
        <v>#N/A Requesting Data...3913468036</v>
        <stp/>
        <stp>BDP|3393078845242372942</stp>
        <tr r="O116" s="2"/>
      </tp>
      <tp t="s">
        <v>#N/A N/A</v>
        <stp/>
        <stp>BDH|4663795239658121415</stp>
        <tr r="V139" s="2"/>
      </tp>
      <tp t="s">
        <v>#N/A Requesting Data...4179654946</v>
        <stp/>
        <stp>BDP|4312902930751031348</stp>
        <tr r="O8" s="2"/>
      </tp>
      <tp t="s">
        <v>#N/A Requesting Data...3795977638</v>
        <stp/>
        <stp>BDP|9710328363909893997</stp>
        <tr r="S31" s="2"/>
      </tp>
      <tp t="s">
        <v>#N/A Requesting Data...3835420989</v>
        <stp/>
        <stp>BDP|2579072132908481506</stp>
        <tr r="T171" s="2"/>
      </tp>
      <tp t="s">
        <v>#N/A Requesting Data...3868707408</v>
        <stp/>
        <stp>BDP|7211622340578060145</stp>
        <tr r="P290" s="2"/>
      </tp>
      <tp t="s">
        <v>#N/A Requesting Data...3704237228</v>
        <stp/>
        <stp>BDP|8282606105981414373</stp>
        <tr r="U119" s="2"/>
      </tp>
      <tp t="s">
        <v>#N/A Requesting Data...4097990282</v>
        <stp/>
        <stp>BDP|2313970587556646917</stp>
        <tr r="X66" s="2"/>
      </tp>
      <tp t="s">
        <v>#N/A Requesting Data...4147790132</v>
        <stp/>
        <stp>BDP|9554775332073765230</stp>
        <tr r="X276" s="2"/>
      </tp>
      <tp t="s">
        <v>#N/A Requesting Data...4158000772</v>
        <stp/>
        <stp>BDP|8849282614452615565</stp>
        <tr r="T46" s="2"/>
      </tp>
      <tp t="s">
        <v>#N/A N/A</v>
        <stp/>
        <stp>BDH|7960196943937609913</stp>
        <tr r="V163" s="2"/>
      </tp>
      <tp t="s">
        <v>#N/A Requesting Data...4167014270</v>
        <stp/>
        <stp>BDP|9708913845929608103</stp>
        <tr r="S40" s="2"/>
      </tp>
      <tp t="s">
        <v>#N/A Requesting Data...4150427993</v>
        <stp/>
        <stp>BDP|3188659580470348121</stp>
        <tr r="O62" s="2"/>
      </tp>
      <tp t="s">
        <v>#N/A Requesting Data...3895727451</v>
        <stp/>
        <stp>BDP|7393337585732923298</stp>
        <tr r="I13" s="2"/>
      </tp>
      <tp t="s">
        <v>#N/A Requesting Data...3769323865</v>
        <stp/>
        <stp>BDP|6278512289097839070</stp>
        <tr r="T70" s="2"/>
      </tp>
      <tp>
        <v>18.95</v>
        <stp/>
        <stp>BDP|5211727510314845538|22</stp>
        <stp>SVCP AB Equity</stp>
        <stp>LAST_PRICE</stp>
        <tr r="B202" s="2"/>
        <tr r="C202" s="2"/>
      </tp>
      <tp>
        <v>71516</v>
        <stp/>
        <stp>BDP|5954310364340816010|22</stp>
        <stp>AZM AB Equity</stp>
        <stp>VOLUME</stp>
        <tr r="J271" s="2"/>
      </tp>
      <tp>
        <v>66621</v>
        <stp/>
        <stp>BDP|7538793159606254584|22</stp>
        <stp>SOLUTION AB Equity</stp>
        <stp>VOLUME</stp>
        <tr r="J270" s="2"/>
      </tp>
      <tp>
        <v>13.33</v>
        <stp/>
        <stp>BDP|3562552823896032728|22</stp>
        <stp>GULFUNI AB Equity</stp>
        <stp>LAST_PRICE</stp>
        <tr r="B190" s="2"/>
        <tr r="C190" s="2"/>
      </tp>
      <tp>
        <v>70.150000000000006</v>
        <stp/>
        <stp>BDP|4743468038570111398|22</stp>
        <stp>NGIC AB Equity</stp>
        <stp>LAST_PRICE</stp>
        <tr r="C293" s="2"/>
        <tr r="B293" s="2"/>
      </tp>
      <tp>
        <v>3256506</v>
        <stp/>
        <stp>BDP|7116334461342915434|22</stp>
        <stp>KAYAN AB Equity</stp>
        <stp>VOLUME</stp>
        <tr r="J198" s="2"/>
      </tp>
      <tp>
        <v>11878646</v>
        <stp/>
        <stp>BDP|8837960358049407728|22</stp>
        <stp>BATIC AB Equity</stp>
        <stp>VOLUME</stp>
        <tr r="J26" s="2"/>
      </tp>
      <tp>
        <v>152336</v>
        <stp/>
        <stp>BDP|2913100556223352757|22</stp>
        <stp>FIPCO AB Equity</stp>
        <stp>VOLUME</stp>
        <tr r="J232" s="2"/>
      </tp>
      <tp>
        <v>43.5</v>
        <stp/>
        <stp>BDP|47831014117926813|22</stp>
        <stp>ALDAWAA AB Equity</stp>
        <stp>LAST_PRICE</stp>
        <tr r="C81" s="2"/>
        <tr r="B81" s="2"/>
      </tp>
      <tp>
        <v>8.19</v>
        <stp/>
        <stp>BDP|18027129589118383734|22</stp>
        <stp>ALRAJHI AB Equity</stp>
        <stp>BID</stp>
        <tr r="Q98" s="2"/>
      </tp>
      <tp>
        <v>9.02</v>
        <stp/>
        <stp>BDP|10914004250189933101|22</stp>
        <stp>MAATHER AB Equity</stp>
        <stp>ASK</stp>
        <tr r="R106" s="2"/>
      </tp>
      <tp>
        <v>-1.8372999999999999</v>
        <stp/>
        <stp>BDP|4186584879189585885|22</stp>
        <stp>SHL AB Equity</stp>
        <stp>CHG_PCT_1M_RT</stp>
        <tr r="E118" s="2"/>
      </tp>
      <tp>
        <v>10.132199999999999</v>
        <stp/>
        <stp>BDP|18274436879563162040|22</stp>
        <stp>teco AB Equity</stp>
        <stp>CHG_PCT_1M_RT</stp>
        <tr r="E72" s="2"/>
      </tp>
      <tp>
        <v>2.3292000293731689</v>
        <stp/>
        <stp>BDP|15676199606598197194|22</stp>
        <stp>2P AB Equity</stp>
        <stp>RT_PX_CHG_PCT_1D</stp>
        <tr r="D267" s="2"/>
      </tp>
      <tp>
        <v>36.72</v>
        <stp/>
        <stp>BDP|11788051469001436451|22</stp>
        <stp>FAKEEHCA AB Equity</stp>
        <stp>LOW</stp>
        <tr r="L157" s="2"/>
      </tp>
      <tp>
        <v>63.75</v>
        <stp/>
        <stp>BDP|7869241358030768012|22</stp>
        <stp>MOUWASAT AB Equity</stp>
        <stp>HIGH</stp>
        <tr r="M156" s="2"/>
      </tp>
      <tp>
        <v>35.32</v>
        <stp/>
        <stp>BDP|14513928817734450484|22</stp>
        <stp>UIHC AB Equity</stp>
        <stp>YEST_LAST_TRADE</stp>
        <tr r="G119" s="2"/>
      </tp>
      <tp>
        <v>27.04</v>
        <stp/>
        <stp>BDP|16094773176872033202|22</stp>
        <stp>ALCO AB Equity</stp>
        <stp>YEST_LAST_TRADE</stp>
        <tr r="G237" s="2"/>
      </tp>
      <tp>
        <v>9.6257000000000001</v>
        <stp/>
        <stp>BDP|15457308811022623364|22</stp>
        <stp>MALATH AB Equity</stp>
        <stp>CHG_PCT_YTD_RT</stp>
        <tr r="F182" s="2"/>
      </tp>
      <tp>
        <v>101</v>
        <stp/>
        <stp>BDP|16263734913347561170|22</stp>
        <stp>ALMAWARI AB Equity</stp>
        <stp>LOW</stp>
        <tr r="L38" s="2"/>
      </tp>
      <tp>
        <v>75.418899999999994</v>
        <stp/>
        <stp>BDP|5662770756972800306|22</stp>
        <stp>CATERING AB Equity</stp>
        <stp>VWAP</stp>
        <tr r="N37" s="2"/>
      </tp>
      <tp>
        <v>35.72</v>
        <stp/>
        <stp>BDP|18080683442705336270|22</stp>
        <stp>ZOUJAJ AB Equity</stp>
        <stp>OPEN</stp>
        <tr r="K220" s="2"/>
      </tp>
      <tp>
        <v>15.1099</v>
        <stp/>
        <stp>BDP|14109497010006456594|22</stp>
        <stp>RAYDAN AB Equity</stp>
        <stp>VWAP</stp>
        <tr r="N73" s="2"/>
      </tp>
      <tp>
        <v>214513</v>
        <stp/>
        <stp>BDP|13488441354228276718|22</stp>
        <stp>NAYIFAT AB Equity</stp>
        <stp>VOLUME</stp>
        <tr r="J121" s="2"/>
      </tp>
      <tp>
        <v>56.1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2.2999999999999998</v>
        <stp/>
        <stp>BDP|13899517373380598790|22</stp>
        <stp>ABDICO AB Equity</stp>
        <stp>HIGH</stp>
        <tr r="M123" s="2"/>
      </tp>
      <tp t="s">
        <v>#N/A Requesting Data...4206762988</v>
        <stp/>
        <stp>BDP|6102781385716288247</stp>
        <tr r="U198" s="2"/>
      </tp>
      <tp t="s">
        <v>#N/A Requesting Data...4033928636</v>
        <stp/>
        <stp>BDP|1557049615329886468</stp>
        <tr r="I222" s="2"/>
      </tp>
      <tp t="s">
        <v>#N/A Requesting Data...3820356236</v>
        <stp/>
        <stp>BDP|3371284065742470801</stp>
        <tr r="S263" s="2"/>
      </tp>
      <tp t="s">
        <v>#N/A Requesting Data...4197538804</v>
        <stp/>
        <stp>BDP|5254797865720253965</stp>
        <tr r="T219" s="2"/>
      </tp>
      <tp t="s">
        <v>#N/A Requesting Data...3924363145</v>
        <stp/>
        <stp>BDP|1586861558837086608</stp>
        <tr r="P195" s="2"/>
      </tp>
      <tp t="s">
        <v>#N/A Requesting Data...4274876340</v>
        <stp/>
        <stp>BDP|9102036824310957646</stp>
        <tr r="T269" s="2"/>
      </tp>
      <tp t="s">
        <v>#N/A Requesting Data...4041007369</v>
        <stp/>
        <stp>BDP|7663834439485295466</stp>
        <tr r="P186" s="2"/>
      </tp>
      <tp t="s">
        <v>#N/A Requesting Data...4058563623</v>
        <stp/>
        <stp>BDP|8902546515902305337</stp>
        <tr r="P91" s="2"/>
      </tp>
      <tp t="s">
        <v>#N/A Requesting Data...3832435272</v>
        <stp/>
        <stp>BDP|4434272936498997042</stp>
        <tr r="P203" s="2"/>
      </tp>
      <tp t="s">
        <v>#N/A Requesting Data...4147171048</v>
        <stp/>
        <stp>BDP|7649770944360420994</stp>
        <tr r="U13" s="2"/>
      </tp>
      <tp t="s">
        <v>#N/A Requesting Data...4275132441</v>
        <stp/>
        <stp>BDP|7947350546548222500</stp>
        <tr r="H42" s="2"/>
      </tp>
      <tp t="s">
        <v>#N/A N/A</v>
        <stp/>
        <stp>BDH|9029800294422568798</stp>
        <tr r="V142" s="2"/>
      </tp>
      <tp t="s">
        <v>#N/A Requesting Data...4001468087</v>
        <stp/>
        <stp>BDP|7150703399896713266</stp>
        <tr r="H89" s="2"/>
      </tp>
      <tp t="s">
        <v>#N/A Requesting Data...4183638415</v>
        <stp/>
        <stp>BDP|7364710688603125625</stp>
        <tr r="U239" s="2"/>
      </tp>
      <tp t="s">
        <v>#N/A Requesting Data...3962116016</v>
        <stp/>
        <stp>BDP|2533724506171804900</stp>
        <tr r="U178" s="2"/>
      </tp>
      <tp t="s">
        <v>#N/A Requesting Data...3805463517</v>
        <stp/>
        <stp>BDP|8401293545612164173</stp>
        <tr r="S12" s="2"/>
      </tp>
      <tp t="s">
        <v>#N/A Requesting Data...3871252580</v>
        <stp/>
        <stp>BDP|8542211711287262193</stp>
        <tr r="I176" s="2"/>
      </tp>
      <tp t="s">
        <v>#N/A Requesting Data...3974345379</v>
        <stp/>
        <stp>BDP|9241298927191165521</stp>
        <tr r="P12" s="2"/>
      </tp>
      <tp t="s">
        <v>#N/A Requesting Data...4072522046</v>
        <stp/>
        <stp>BDP|4155943479987332006</stp>
        <tr r="I112" s="2"/>
      </tp>
      <tp t="s">
        <v>#N/A Requesting Data...3947785265</v>
        <stp/>
        <stp>BDP|5082548069382172938</stp>
        <tr r="S253" s="2"/>
      </tp>
      <tp t="s">
        <v>#N/A Requesting Data...4251758777</v>
        <stp/>
        <stp>BDP|3510020324054878848</stp>
        <tr r="S224" s="2"/>
      </tp>
      <tp t="s">
        <v>#N/A Requesting Data...4164545954</v>
        <stp/>
        <stp>BDP|8449881413434590860</stp>
        <tr r="S65" s="2"/>
      </tp>
      <tp t="s">
        <v>#N/A Requesting Data...4082689791</v>
        <stp/>
        <stp>BDP|3490507779604315823</stp>
        <tr r="O100" s="2"/>
      </tp>
      <tp t="s">
        <v>#N/A Requesting Data...4013405042</v>
        <stp/>
        <stp>BDP|5687862616227844620</stp>
        <tr r="X275" s="2"/>
      </tp>
      <tp t="s">
        <v>#N/A Requesting Data...4221999751</v>
        <stp/>
        <stp>BDP|6805648540581687864</stp>
        <tr r="I196" s="2"/>
      </tp>
      <tp t="s">
        <v>#N/A Requesting Data...3849642864</v>
        <stp/>
        <stp>BDP|9072852797852909766</stp>
        <tr r="U44" s="2"/>
      </tp>
      <tp t="s">
        <v>#N/A N/A</v>
        <stp/>
        <stp>BDH|2842899365093188285</stp>
        <tr r="V35" s="2"/>
      </tp>
      <tp t="s">
        <v>#N/A Requesting Data...3857428913</v>
        <stp/>
        <stp>BDP|9551698109746223453</stp>
        <tr r="I155" s="2"/>
      </tp>
      <tp t="s">
        <v>#N/A Requesting Data...3927244683</v>
        <stp/>
        <stp>BDP|8757407348973573683</stp>
        <tr r="U208" s="2"/>
      </tp>
      <tp t="s">
        <v>#N/A Requesting Data...4066201765</v>
        <stp/>
        <stp>BDP|6007245949214643993</stp>
        <tr r="H98" s="2"/>
      </tp>
      <tp t="s">
        <v>#N/A Requesting Data...3946447616</v>
        <stp/>
        <stp>BDP|1133020623047115937</stp>
        <tr r="U146" s="2"/>
      </tp>
      <tp t="s">
        <v>#N/A Requesting Data...3910259850</v>
        <stp/>
        <stp>BDP|9770551459423813716</stp>
        <tr r="T190" s="2"/>
      </tp>
      <tp t="s">
        <v>#N/A Requesting Data...4282639046</v>
        <stp/>
        <stp>BDP|8729056968487071480</stp>
        <tr r="I9" s="2"/>
      </tp>
      <tp t="s">
        <v>#N/A Requesting Data...3843825133</v>
        <stp/>
        <stp>BDP|5223649051272425904</stp>
        <tr r="U140" s="2"/>
      </tp>
      <tp t="s">
        <v>#N/A Requesting Data...4141248012</v>
        <stp/>
        <stp>BDP|5191735947448265371</stp>
        <tr r="X180" s="2"/>
      </tp>
      <tp t="s">
        <v>#N/A Requesting Data...4028810622</v>
        <stp/>
        <stp>BDP|2481218754858602078</stp>
        <tr r="T212" s="2"/>
      </tp>
      <tp t="s">
        <v>#N/A Requesting Data...4039897213</v>
        <stp/>
        <stp>BDP|8633069094705681925</stp>
        <tr r="I58" s="2"/>
      </tp>
      <tp t="s">
        <v>#N/A Requesting Data...4207958194</v>
        <stp/>
        <stp>BDP|8259907755640277957</stp>
        <tr r="P58" s="2"/>
      </tp>
      <tp t="s">
        <v>#N/A Requesting Data...3860006413</v>
        <stp/>
        <stp>BDP|9389946221438554739</stp>
        <tr r="X248" s="2"/>
      </tp>
      <tp t="s">
        <v>#N/A Requesting Data...4002190280</v>
        <stp/>
        <stp>BDP|7581906057740241614</stp>
        <tr r="P177" s="2"/>
      </tp>
      <tp t="s">
        <v>#N/A Requesting Data...4022990594</v>
        <stp/>
        <stp>BDP|9383037247274207447</stp>
        <tr r="X204" s="2"/>
      </tp>
      <tp t="s">
        <v>#N/A Requesting Data...4069168557</v>
        <stp/>
        <stp>BDP|9784505618767915778</stp>
        <tr r="U158" s="2"/>
      </tp>
      <tp t="s">
        <v>#N/A Requesting Data...4163258015</v>
        <stp/>
        <stp>BDP|8360290634120648491</stp>
        <tr r="U218" s="2"/>
      </tp>
      <tp>
        <v>6.64</v>
        <stp/>
        <stp>BDP|13977903717776388304|22</stp>
        <stp>CGS AB Equity</stp>
        <stp>LAST_PRICE</stp>
        <tr r="B31" s="2"/>
        <tr r="C31" s="2"/>
      </tp>
      <tp t="s">
        <v>#N/A Requesting Data...4223158772</v>
        <stp/>
        <stp>BDP|4174609635078235404</stp>
        <tr r="I208" s="2"/>
      </tp>
      <tp t="s">
        <v>#N/A Requesting Data...4007324268</v>
        <stp/>
        <stp>BDP|4435527816635419829</stp>
        <tr r="X265" s="2"/>
      </tp>
      <tp t="s">
        <v>#N/A Requesting Data...4138556666</v>
        <stp/>
        <stp>BDP|1425605517319781223</stp>
        <tr r="I27" s="2"/>
      </tp>
      <tp t="s">
        <v>#N/A Requesting Data...4157118102</v>
        <stp/>
        <stp>BDP|7637709984725133051</stp>
        <tr r="O10" s="2"/>
      </tp>
      <tp t="s">
        <v>#N/A Requesting Data...4204099792</v>
        <stp/>
        <stp>BDP|5948734384484927318</stp>
        <tr r="X224" s="2"/>
      </tp>
      <tp t="s">
        <v>#N/A Requesting Data...4135982903</v>
        <stp/>
        <stp>BDP|9683669847342722466</stp>
        <tr r="O170" s="2"/>
      </tp>
      <tp t="s">
        <v>#N/A Requesting Data...4143720034</v>
        <stp/>
        <stp>BDP|1199140534199772713</stp>
        <tr r="I141" s="2"/>
      </tp>
      <tp t="s">
        <v>#N/A Requesting Data...3919445851</v>
        <stp/>
        <stp>BDP|4801958278206215105</stp>
        <tr r="S92" s="2"/>
      </tp>
      <tp t="s">
        <v>#N/A Requesting Data...4281340689</v>
        <stp/>
        <stp>BDP|1436804183129744572</stp>
        <tr r="O277" s="2"/>
      </tp>
      <tp t="s">
        <v>#N/A Requesting Data...4098519434</v>
        <stp/>
        <stp>BDP|2256713600488309071</stp>
        <tr r="T38" s="2"/>
      </tp>
      <tp t="s">
        <v>#N/A Requesting Data...4039285355</v>
        <stp/>
        <stp>BDP|9268412793891139868</stp>
        <tr r="P277" s="2"/>
      </tp>
      <tp t="s">
        <v>#N/A N/A</v>
        <stp/>
        <stp>BDH|4662532995123535623</stp>
        <tr r="V204" s="2"/>
      </tp>
      <tp t="s">
        <v>#N/A Requesting Data...4195108295</v>
        <stp/>
        <stp>BDP|2359210884456451360</stp>
        <tr r="P142" s="2"/>
      </tp>
      <tp t="s">
        <v>#N/A Requesting Data...4253800344</v>
        <stp/>
        <stp>BDP|7720573688821469696</stp>
        <tr r="X173" s="2"/>
      </tp>
      <tp t="s">
        <v>#N/A Requesting Data...3914902388</v>
        <stp/>
        <stp>BDP|7517622140088637048</stp>
        <tr r="U125" s="2"/>
      </tp>
      <tp t="s">
        <v>#N/A Requesting Data...3934843505</v>
        <stp/>
        <stp>BDP|1145865514370760515</stp>
        <tr r="H25" s="2"/>
      </tp>
      <tp t="s">
        <v>#N/A N/A</v>
        <stp/>
        <stp>BDH|4336471905268036544</stp>
        <tr r="V233" s="2"/>
      </tp>
      <tp t="s">
        <v>#N/A N/A</v>
        <stp/>
        <stp>BDH|4489475185525166020</stp>
        <tr r="V71" s="2"/>
      </tp>
      <tp>
        <v>42.3</v>
        <stp/>
        <stp>BDP|14376697265790064549|22</stp>
        <stp>YAMAMAH AB Equity</stp>
        <stp>OPEN</stp>
        <tr r="K214" s="2"/>
      </tp>
      <tp>
        <v>556514</v>
        <stp/>
        <stp>BDP|1825973961583051021|22</stp>
        <stp>BINDAWOO AB Equity</stp>
        <stp>VOLUME</stp>
        <tr r="J80" s="2"/>
      </tp>
      <tp>
        <v>167063</v>
        <stp/>
        <stp>BDP|8632650665487429064|22</stp>
        <stp>ALHAMMAD AB Equity</stp>
        <stp>VOLUME</stp>
        <tr r="J159" s="2"/>
      </tp>
      <tp>
        <v>39.96</v>
        <stp/>
        <stp>BDP|8368484868416463052|22</stp>
        <stp>BAWAN AB Equity</stp>
        <stp>YEST_LAST_TRADE</stp>
        <tr r="G22" s="2"/>
      </tp>
      <tp>
        <v>4.97</v>
        <stp/>
        <stp>BDP|9538929629534538984|22</stp>
        <stp>JADWA AB Equity</stp>
        <stp>YEST_LAST_TRADE</stp>
        <tr r="G101" s="2"/>
      </tp>
      <tp>
        <v>3.7</v>
        <stp/>
        <stp>BDP|12041313916137763333|22</stp>
        <stp>ALASEEL AB Equity</stp>
        <stp>HIGH</stp>
        <tr r="M59" s="2"/>
      </tp>
      <tp>
        <v>24.15</v>
        <stp/>
        <stp>BDP|4391889104050554842|22</stp>
        <stp>ENTAJ AB Equity</stp>
        <stp>YEST_LAST_TRADE</stp>
        <tr r="G129" s="2"/>
      </tp>
      <tp>
        <v>51.9</v>
        <stp/>
        <stp>BDP|7223277540630934943|22</stp>
        <stp>ATAA AB Equity</stp>
        <stp>LAST_PRICE</stp>
        <tr r="C75" s="2"/>
        <tr r="B75" s="2"/>
      </tp>
      <tp>
        <v>59.0745</v>
        <stp/>
        <stp>BDP|1782113102969823106|22</stp>
        <stp>EASTPIPE AB Equity</stp>
        <stp>CHG_PCT_YTD_RT</stp>
        <tr r="F217" s="2"/>
      </tp>
      <tp>
        <v>132.9</v>
        <stp/>
        <stp>BDP|17894334650591753065|22</stp>
        <stp>ALMAJED AB Equity</stp>
        <stp>OPEN</stp>
        <tr r="K163" s="2"/>
      </tp>
      <tp>
        <v>32.24</v>
        <stp/>
        <stp>BDP|2074638628704815995|22</stp>
        <stp>FIPCO AB Equity</stp>
        <stp>YEST_LAST_TRADE</stp>
        <tr r="G232" s="2"/>
      </tp>
      <tp>
        <v>106856</v>
        <stp/>
        <stp>BDP|5849487819907080715|22</stp>
        <stp>NAHDI AB Equity</stp>
        <stp>VOLUME</stp>
        <tr r="J86" s="2"/>
      </tp>
      <tp>
        <v>1358245</v>
        <stp/>
        <stp>BDP|6525723904766157511|22</stp>
        <stp>ANAAM AB Equity</stp>
        <stp>VOLUME</stp>
        <tr r="J84" s="2"/>
      </tp>
      <tp>
        <v>15.847899999999999</v>
        <stp/>
        <stp>BDP|4652631687621863656|22</stp>
        <stp>EACCO AB Equity</stp>
        <stp>CHG_PCT_YTD_RT</stp>
        <tr r="F213" s="2"/>
      </tp>
      <tp>
        <v>-3.8841000000000001</v>
        <stp/>
        <stp>BDP|8945023046887486425|22</stp>
        <stp>TALCO AB Equity</stp>
        <stp>CHG_PCT_YTD_RT</stp>
        <tr r="F208" s="2"/>
      </tp>
      <tp>
        <v>13681144</v>
        <stp/>
        <stp>BDP|7766669562679017368|22</stp>
        <stp>SIECO AB Equity</stp>
        <stp>VOLUME</stp>
        <tr r="J29" s="2"/>
      </tp>
      <tp>
        <v>-2.1265999999999998</v>
        <stp/>
        <stp>BDP|5186655032770883700|22</stp>
        <stp>SNB AB Equity</stp>
        <stp>CHG_PCT_1M_RT</stp>
        <tr r="E13" s="2"/>
      </tp>
      <tp>
        <v>42.86</v>
        <stp/>
        <stp>BDP|13545787607360910895|22</stp>
        <stp>ABOMOATI AB Equity</stp>
        <stp>BID</stp>
        <tr r="Q43" s="2"/>
      </tp>
      <tp>
        <v>16.07</v>
        <stp/>
        <stp>BDP|13345660758653345568|22</stp>
        <stp>SIDC AB Equity</stp>
        <stp>YEST_LAST_TRADE</stp>
        <tr r="G56" s="2"/>
      </tp>
      <tp>
        <v>131.6</v>
        <stp/>
        <stp>BDP|12770982929285199316|22</stp>
        <stp>TADAWULG AB Equity</stp>
        <stp>LOW</stp>
        <tr r="L120" s="2"/>
      </tp>
      <tp>
        <v>47.82</v>
        <stp/>
        <stp>BDP|11817569245304122466|22</stp>
        <stp>ARABIANM AB Equity</stp>
        <stp>BID</stp>
        <tr r="Q138" s="2"/>
      </tp>
      <tp>
        <v>149065</v>
        <stp/>
        <stp>BDP|12152271273801445057|22</stp>
        <stp>TALEEM AB Equity</stp>
        <stp>VOLUME</stp>
        <tr r="J112" s="2"/>
      </tp>
      <tp>
        <v>7.0597000000000003</v>
        <stp/>
        <stp>BDP|10517395425993774362|22</stp>
        <stp>YANSAB AB Equity</stp>
        <stp>CHG_PCT_YTD_RT</stp>
        <tr r="F205" s="2"/>
      </tp>
      <tp>
        <v>12.5</v>
        <stp/>
        <stp>BDP|16026219738205033256|22</stp>
        <stp>LIVA AB Equity</stp>
        <stp>YEST_LAST_TRADE</stp>
        <tr r="G173" s="2"/>
      </tp>
      <tp>
        <v>13.98</v>
        <stp/>
        <stp>BDP|6356504719805468677|22</stp>
        <stp>ALANDALU AB Equity</stp>
        <stp>HIGH</stp>
        <tr r="M258" s="2"/>
      </tp>
      <tp>
        <v>45.08</v>
        <stp/>
        <stp>BDP|6032563261937779979|22</stp>
        <stp>BUILDSTA AB Equity</stp>
        <stp>HIGH</stp>
        <tr r="M44" s="2"/>
      </tp>
      <tp>
        <v>5.1318000000000001</v>
        <stp/>
        <stp>BDP|13268743454301482190|22</stp>
        <stp>ALMARAI AB Equity</stp>
        <stp>CHG_PCT_YTD_RT</stp>
        <tr r="F144" s="2"/>
      </tp>
      <tp t="s">
        <v>#N/A Requesting Data...4071750129</v>
        <stp/>
        <stp>BDP|4506344588838063930</stp>
        <tr r="X216" s="2"/>
      </tp>
      <tp t="s">
        <v>#N/A Requesting Data...3960438915</v>
        <stp/>
        <stp>BDP|4325312515358935040</stp>
        <tr r="T210" s="2"/>
      </tp>
      <tp t="s">
        <v>#N/A Requesting Data...4215237502</v>
        <stp/>
        <stp>BDP|1644603494004884416</stp>
        <tr r="U128" s="2"/>
      </tp>
      <tp t="s">
        <v>#N/A Requesting Data...4196338426</v>
        <stp/>
        <stp>BDP|6635987591071544919</stp>
        <tr r="P109" s="2"/>
      </tp>
      <tp t="s">
        <v>#N/A Requesting Data...4012705704</v>
        <stp/>
        <stp>BDP|8983347536655745375</stp>
        <tr r="T81" s="2"/>
      </tp>
      <tp t="s">
        <v>#N/A Requesting Data...4042840488</v>
        <stp/>
        <stp>BDP|1623143238675297836</stp>
        <tr r="X210" s="2"/>
      </tp>
      <tp t="s">
        <v>#N/A Requesting Data...4261829641</v>
        <stp/>
        <stp>BDP|6735557368459587243</stp>
        <tr r="X94" s="2"/>
      </tp>
      <tp t="s">
        <v>#N/A Requesting Data...4257086349</v>
        <stp/>
        <stp>BDP|8273912659312281831</stp>
        <tr r="P152" s="2"/>
      </tp>
      <tp t="s">
        <v>#N/A Requesting Data...4026134347</v>
        <stp/>
        <stp>BDP|5369167339950221966</stp>
        <tr r="U205" s="2"/>
      </tp>
      <tp t="s">
        <v>#N/A Requesting Data...4277215666</v>
        <stp/>
        <stp>BDP|7282832832427383583</stp>
        <tr r="P112" s="2"/>
      </tp>
      <tp t="s">
        <v>#N/A Requesting Data...4139836285</v>
        <stp/>
        <stp>BDP|8924917792380780658</stp>
        <tr r="P235" s="2"/>
      </tp>
      <tp t="s">
        <v>#N/A Requesting Data...4242020476</v>
        <stp/>
        <stp>BDP|1685230339938483610</stp>
        <tr r="S280" s="2"/>
      </tp>
      <tp t="s">
        <v>#N/A Requesting Data...4207633922</v>
        <stp/>
        <stp>BDP|3127117512119227498</stp>
        <tr r="I26" s="2"/>
      </tp>
      <tp t="s">
        <v>#N/A Requesting Data...4057056851</v>
        <stp/>
        <stp>BDP|3010843505071081489</stp>
        <tr r="U195" s="2"/>
      </tp>
      <tp t="s">
        <v>#N/A Requesting Data...4025005149</v>
        <stp/>
        <stp>BDP|2924664657566396928</stp>
        <tr r="T123" s="2"/>
      </tp>
      <tp t="s">
        <v>#N/A Requesting Data...4277951565</v>
        <stp/>
        <stp>BDP|2991359993775263343</stp>
        <tr r="U293" s="2"/>
      </tp>
      <tp t="s">
        <v>#N/A Requesting Data...4070637542</v>
        <stp/>
        <stp>BDP|4650892834395537473</stp>
        <tr r="I103" s="2"/>
      </tp>
      <tp t="s">
        <v>#N/A Requesting Data...4075641167</v>
        <stp/>
        <stp>BDP|2854738418482376898</stp>
        <tr r="U67" s="2"/>
      </tp>
      <tp t="s">
        <v>#N/A Requesting Data...3926521494</v>
        <stp/>
        <stp>BDP|8396673843413110780</stp>
        <tr r="U252" s="2"/>
      </tp>
      <tp t="s">
        <v>#N/A Requesting Data...4086010242</v>
        <stp/>
        <stp>BDP|5542836768350179511</stp>
        <tr r="O244" s="2"/>
      </tp>
      <tp t="s">
        <v>#N/A N/A</v>
        <stp/>
        <stp>BDH|4196558688606402162</stp>
        <tr r="V168" s="2"/>
      </tp>
      <tp t="s">
        <v>#N/A Requesting Data...4184804308</v>
        <stp/>
        <stp>BDP|9193403820506915772</stp>
        <tr r="S247" s="2"/>
      </tp>
      <tp t="s">
        <v>#N/A Requesting Data...4235530331</v>
        <stp/>
        <stp>BDP|5001585823248115458</stp>
        <tr r="O234" s="2"/>
      </tp>
      <tp t="s">
        <v>#N/A Requesting Data...3988633771</v>
        <stp/>
        <stp>BDP|5984849393322240836</stp>
        <tr r="P108" s="2"/>
      </tp>
      <tp t="s">
        <v>#N/A Requesting Data...4113169418</v>
        <stp/>
        <stp>BDP|1440592567274352863</stp>
        <tr r="P65" s="2"/>
      </tp>
      <tp t="s">
        <v>#N/A Requesting Data...3985382575</v>
        <stp/>
        <stp>BDP|8797912899145721342</stp>
        <tr r="X106" s="2"/>
      </tp>
      <tp t="s">
        <v>#N/A Requesting Data...4007779953</v>
        <stp/>
        <stp>BDP|9463076571770776090</stp>
        <tr r="P94" s="2"/>
      </tp>
      <tp t="s">
        <v>#N/A Requesting Data...4076984551</v>
        <stp/>
        <stp>BDP|5367826431413551391</stp>
        <tr r="X116" s="2"/>
      </tp>
      <tp t="s">
        <v>#N/A Requesting Data...4110463672</v>
        <stp/>
        <stp>BDP|4903852346547007161</stp>
        <tr r="H50" s="2"/>
      </tp>
      <tp t="s">
        <v>#N/A Requesting Data...4213424799</v>
        <stp/>
        <stp>BDP|8224249264651716385</stp>
        <tr r="U19" s="2"/>
      </tp>
      <tp t="s">
        <v>#N/A Requesting Data...4094291146</v>
        <stp/>
        <stp>BDP|9894736726080303232</stp>
        <tr r="S227" s="2"/>
      </tp>
      <tp t="s">
        <v>#N/A Requesting Data...4081001220</v>
        <stp/>
        <stp>BDP|6146358781323179095</stp>
        <tr r="H246" s="2"/>
      </tp>
      <tp t="s">
        <v>#N/A Requesting Data...4203197259</v>
        <stp/>
        <stp>BDP|2605824637303890460</stp>
        <tr r="I136" s="2"/>
      </tp>
      <tp t="s">
        <v>#N/A Requesting Data...4056994553</v>
        <stp/>
        <stp>BDP|7284420988530342595</stp>
        <tr r="T102" s="2"/>
      </tp>
      <tp t="s">
        <v>#N/A Requesting Data...3986757907</v>
        <stp/>
        <stp>BDP|9047553924260029036</stp>
        <tr r="T143" s="2"/>
      </tp>
      <tp t="s">
        <v>#N/A Requesting Data...4194252999</v>
        <stp/>
        <stp>BDP|4914174208292047958</stp>
        <tr r="S172" s="2"/>
      </tp>
      <tp t="s">
        <v>#N/A Requesting Data...4064038536</v>
        <stp/>
        <stp>BDP|2520709096814973694</stp>
        <tr r="O59" s="2"/>
      </tp>
      <tp t="s">
        <v>#N/A Requesting Data...4031608743</v>
        <stp/>
        <stp>BDP|9649975098207368096</stp>
        <tr r="P53" s="2"/>
      </tp>
      <tp t="s">
        <v>#N/A Requesting Data...3976309871</v>
        <stp/>
        <stp>BDP|9368483762133823624</stp>
        <tr r="S156" s="2"/>
      </tp>
      <tp t="s">
        <v>#N/A N/A</v>
        <stp/>
        <stp>BDH|9329110513401312618</stp>
        <tr r="V6" s="2"/>
      </tp>
      <tp t="s">
        <v>#N/A Requesting Data...4255160596</v>
        <stp/>
        <stp>BDP|7417360179078934526</stp>
        <tr r="T271" s="2"/>
      </tp>
      <tp t="s">
        <v>#N/A Requesting Data...4225064876</v>
        <stp/>
        <stp>BDP|6458856598151975801</stp>
        <tr r="X60" s="2"/>
      </tp>
      <tp t="s">
        <v>#N/A Requesting Data...4056728521</v>
        <stp/>
        <stp>BDP|8524274510623402679</stp>
        <tr r="I277" s="2"/>
      </tp>
      <tp t="s">
        <v>#N/A Requesting Data...3980145370</v>
        <stp/>
        <stp>BDP|5038836441670087737</stp>
        <tr r="I15" s="2"/>
      </tp>
      <tp t="s">
        <v>#N/A Requesting Data...4238204066</v>
        <stp/>
        <stp>BDP|4342245083652231275</stp>
        <tr r="S178" s="2"/>
      </tp>
      <tp t="s">
        <v>#N/A Requesting Data...4096931672</v>
        <stp/>
        <stp>BDP|6370450175479708253</stp>
        <tr r="O147" s="2"/>
      </tp>
      <tp t="s">
        <v>#N/A Requesting Data...4128260721</v>
        <stp/>
        <stp>BDP|1336555533388268160</stp>
        <tr r="O289" s="2"/>
      </tp>
      <tp t="s">
        <v>#N/A Requesting Data...4108406435</v>
        <stp/>
        <stp>BDP|6520778263869112061</stp>
        <tr r="X57" s="2"/>
      </tp>
      <tp t="s">
        <v>#N/A Requesting Data...4250238438</v>
        <stp/>
        <stp>BDP|5758316454658291574</stp>
        <tr r="P170" s="2"/>
      </tp>
      <tp t="s">
        <v>#N/A Requesting Data...4201120603</v>
        <stp/>
        <stp>BDP|7083973622137550575</stp>
        <tr r="U206" s="2"/>
      </tp>
      <tp t="s">
        <v>#N/A Requesting Data...4149451249</v>
        <stp/>
        <stp>BDP|9782558551397538011</stp>
        <tr r="U73" s="2"/>
      </tp>
      <tp t="s">
        <v>#N/A Requesting Data...4069720973</v>
        <stp/>
        <stp>BDP|2371546440249504456</stp>
        <tr r="I30" s="2"/>
      </tp>
      <tp t="s">
        <v>#N/A Requesting Data...4014376581</v>
        <stp/>
        <stp>BDP|2699525275547686906</stp>
        <tr r="H199" s="2"/>
      </tp>
      <tp t="s">
        <v>#N/A Requesting Data...4112082723</v>
        <stp/>
        <stp>BDP|3521903925421614712</stp>
        <tr r="H97" s="2"/>
      </tp>
      <tp t="s">
        <v>#N/A Requesting Data...3973435839</v>
        <stp/>
        <stp>BDP|9796160074018514943</stp>
        <tr r="I212" s="2"/>
      </tp>
      <tp t="s">
        <v>#N/A Requesting Data...4263664588</v>
        <stp/>
        <stp>BDP|2527415593052170323</stp>
        <tr r="T215" s="2"/>
      </tp>
      <tp t="s">
        <v>#N/A Requesting Data...4258909244</v>
        <stp/>
        <stp>BDP|7623833611217932796</stp>
        <tr r="U225" s="2"/>
      </tp>
      <tp t="s">
        <v>#N/A N/A</v>
        <stp/>
        <stp>BDH|7757187529359661346</stp>
        <tr r="V166" s="2"/>
      </tp>
      <tp t="s">
        <v>#N/A N/A</v>
        <stp/>
        <stp>BDH|7495420710775208906</stp>
        <tr r="V72" s="2"/>
      </tp>
      <tp t="s">
        <v>#N/A Requesting Data...4293569184</v>
        <stp/>
        <stp>BDP|1478764007071584952</stp>
        <tr r="X127" s="2"/>
      </tp>
      <tp t="s">
        <v>#N/A Requesting Data...4046109347</v>
        <stp/>
        <stp>BDP|4395911260001125461</stp>
        <tr r="I24" s="2"/>
      </tp>
      <tp t="s">
        <v>#N/A Requesting Data...4144113147</v>
        <stp/>
        <stp>BDP|7093801041623131651</stp>
        <tr r="I173" s="2"/>
      </tp>
      <tp t="s">
        <v>#N/A Requesting Data...4082382911</v>
        <stp/>
        <stp>BDP|9133715050372442710</stp>
        <tr r="I250" s="2"/>
      </tp>
      <tp t="s">
        <v>#N/A Requesting Data...4014219390</v>
        <stp/>
        <stp>BDP|1737125754373213867</stp>
        <tr r="O101" s="2"/>
      </tp>
      <tp t="s">
        <v>#N/A Requesting Data...4045371698</v>
        <stp/>
        <stp>BDP|7857715890610559794</stp>
        <tr r="U290" s="2"/>
      </tp>
      <tp t="s">
        <v>#N/A Requesting Data...4248980468</v>
        <stp/>
        <stp>BDP|8378416053593453407</stp>
        <tr r="U114" s="2"/>
      </tp>
      <tp>
        <v>43.651600000000002</v>
        <stp/>
        <stp>BDP|17374837303496381150|22</stp>
        <stp>ALDAWAA AB Equity</stp>
        <stp>VWAP</stp>
        <tr r="N81" s="2"/>
      </tp>
      <tp>
        <v>26.22</v>
        <stp/>
        <stp>BDP|14586771074606615520|22</stp>
        <stp>SAUDIRE AB Equity</stp>
        <stp>OPEN</stp>
        <tr r="K167" s="2"/>
      </tp>
      <tp>
        <v>22.258299999999998</v>
        <stp/>
        <stp>BDP|12439498478624983675|22</stp>
        <stp>ALOMRAN AB Equity</stp>
        <stp>VWAP</stp>
        <tr r="N25" s="2"/>
      </tp>
      <tp>
        <v>17.100000000000001</v>
        <stp/>
        <stp>BDP|2005249165205749951|22</stp>
        <stp>SAIC AB Equity</stp>
        <stp>LAST_PRICE</stp>
        <tr r="C117" s="2"/>
        <tr r="B117" s="2"/>
      </tp>
      <tp>
        <v>124.3</v>
        <stp/>
        <stp>BDP|2345031473671186814|22</stp>
        <stp>LUBEREF AB Equity</stp>
        <stp>LAST_PRICE</stp>
        <tr r="B235" s="2"/>
        <tr r="C235" s="2"/>
      </tp>
      <tp>
        <v>17.8</v>
        <stp/>
        <stp>BDP|9638928496102244697|22</stp>
        <stp>SECO AB Equity</stp>
        <stp>LAST_PRICE</stp>
        <tr r="C291" s="2"/>
        <tr r="B291" s="2"/>
      </tp>
      <tp>
        <v>93.25</v>
        <stp/>
        <stp>BDP|5109945196709552863|22</stp>
        <stp>NAHDI AB Equity</stp>
        <stp>YEST_LAST_TRADE</stp>
        <tr r="G86" s="2"/>
      </tp>
      <tp>
        <v>119</v>
        <stp/>
        <stp>BDP|8927499397963528562|22</stp>
        <stp>ALMOOSA AB Equity</stp>
        <stp>LAST_PRICE</stp>
        <tr r="B155" s="2"/>
        <tr r="C155" s="2"/>
      </tp>
      <tp>
        <v>20.74</v>
        <stp/>
        <stp>BDP|1188457252591093924|22</stp>
        <stp>ARNB AB Equity</stp>
        <stp>LAST_PRICE</stp>
        <tr r="C8" s="2"/>
        <tr r="B8" s="2"/>
      </tp>
      <tp>
        <v>3.26</v>
        <stp/>
        <stp>BDP|16907084402155940885|22</stp>
        <stp>UCA AB Equity</stp>
        <stp>YEST_LAST_TRADE</stp>
        <tr r="G181" s="2"/>
      </tp>
      <tp>
        <v>190389</v>
        <stp/>
        <stp>BDP|5187549080239797509|22</stp>
        <stp>SACCO AB Equity</stp>
        <stp>VOLUME</stp>
        <tr r="J229" s="2"/>
      </tp>
      <tp>
        <v>1.0714000463485718</v>
        <stp/>
        <stp>BDP|10313019632892151628|22</stp>
        <stp>SRE AB Equity</stp>
        <stp>RT_PX_CHG_PCT_1D</stp>
        <tr r="D251" s="2"/>
      </tp>
      <tp>
        <v>21.179200000000002</v>
        <stp/>
        <stp>BDP|5772660223447510703|22</stp>
        <stp>SRECO AB Equity</stp>
        <stp>CHG_PCT_YTD_RT</stp>
        <tr r="F254" s="2"/>
      </tp>
      <tp>
        <v>5.81</v>
        <stp/>
        <stp>BDP|18225403197180148016|22</stp>
        <stp>AOTHAIM AB Equity</stp>
        <stp>LOW</stp>
        <tr r="L82" s="2"/>
      </tp>
      <tp>
        <v>23.7</v>
        <stp/>
        <stp>BDP|13611821232064215751|22</stp>
        <stp>ALMASARA AB Equity</stp>
        <stp>ASK</stp>
        <tr r="R78" s="2"/>
      </tp>
      <tp>
        <v>78.655000000000001</v>
        <stp/>
        <stp>BDP|15962717911221463580|22</stp>
        <stp>PETROR AB Equity</stp>
        <stp>CHG_PCT_YTD_RT</stp>
        <tr r="F89" s="2"/>
      </tp>
      <tp>
        <v>90.55</v>
        <stp/>
        <stp>BDP|10053764283189161963|22</stp>
        <stp>ARABIAND AB Equity</stp>
        <stp>BID</stp>
        <tr r="Q91" s="2"/>
      </tp>
      <tp>
        <v>6.82</v>
        <stp/>
        <stp>BDP|15891479750993369205|22</stp>
        <stp>SPORTCLU AB Equity</stp>
        <stp>LOW</stp>
        <tr r="L67" s="2"/>
      </tp>
      <tp>
        <v>-37.842300000000002</v>
        <stp/>
        <stp>BDP|12237742269961925176|22</stp>
        <stp>RAYDAN AB Equity</stp>
        <stp>CHG_PCT_YTD_RT</stp>
        <tr r="F73" s="2"/>
      </tp>
      <tp>
        <v>2.7</v>
        <stp/>
        <stp>BDP|8335120750306086251|22</stp>
        <stp>ALWASAIL AB Equity</stp>
        <stp>OPEN</stp>
        <tr r="K32" s="2"/>
      </tp>
      <tp>
        <v>7.24</v>
        <stp/>
        <stp>BDP|2353074150105226284|22</stp>
        <stp>ALMAJDIA AB Equity</stp>
        <stp>HIGH</stp>
        <tr r="M261" s="2"/>
      </tp>
      <tp>
        <v>42.9</v>
        <stp/>
        <stp>BDP|12637236562125017211|22</stp>
        <stp>ABOMOATI AB Equity</stp>
        <stp>ASK</stp>
        <tr r="R43" s="2"/>
      </tp>
      <tp>
        <v>8.32</v>
        <stp/>
        <stp>BDP|2535364057403616459|22</stp>
        <stp>ALINMAHO AB Equity</stp>
        <stp>HIGH</stp>
        <tr r="M97" s="2"/>
      </tp>
      <tp>
        <v>16.719000000000001</v>
        <stp/>
        <stp>BDP|1963937203219657429|22</stp>
        <stp>SMCHEALT AB Equity</stp>
        <stp>VWAP</stp>
        <tr r="N150" s="2"/>
      </tp>
      <tp>
        <v>0.78509998321533203</v>
        <stp/>
        <stp>BDP|9401989759286153194|22</stp>
        <stp>ALBI AB Equity</stp>
        <stp>RT_PX_CHG_PCT_1D</stp>
        <tr r="D5" s="2"/>
      </tp>
      <tp>
        <v>1034286</v>
        <stp/>
        <stp>BDP|13262072894944347527|22</stp>
        <stp>BAAZEEM AB Equity</stp>
        <stp>VOLUME</stp>
        <tr r="J48" s="2"/>
      </tp>
      <tp>
        <v>38.659999999999997</v>
        <stp/>
        <stp>BDP|16981373903719267930|22</stp>
        <stp>SNB AB Equity</stp>
        <stp>LAST_PRICE</stp>
        <tr r="C13" s="2"/>
        <tr r="B13" s="2"/>
      </tp>
      <tp t="s">
        <v>#N/A Requesting Data...4151627272</v>
        <stp/>
        <stp>BDP|8442733708014040452</stp>
        <tr r="X15" s="2"/>
      </tp>
      <tp t="s">
        <v>#N/A Requesting Data...4058218816</v>
        <stp/>
        <stp>BDP|3940617606719025347</stp>
        <tr r="H48" s="2"/>
      </tp>
      <tp t="s">
        <v>#N/A Requesting Data...4080196353</v>
        <stp/>
        <stp>BDP|1502111632388930457</stp>
        <tr r="H155" s="2"/>
      </tp>
      <tp t="s">
        <v>#N/A Requesting Data...4101057677</v>
        <stp/>
        <stp>BDP|4940748116258119509</stp>
        <tr r="P40" s="2"/>
      </tp>
      <tp t="s">
        <v>#N/A N/A</v>
        <stp/>
        <stp>BDH|9879236977873350055</stp>
        <tr r="V223" s="2"/>
      </tp>
      <tp t="s">
        <v>#N/A Requesting Data...4160276557</v>
        <stp/>
        <stp>BDP|1697164896333403595</stp>
        <tr r="X74" s="2"/>
      </tp>
      <tp t="s">
        <v>#N/A Requesting Data...4125258471</v>
        <stp/>
        <stp>BDP|8686918985780901606</stp>
        <tr r="X139" s="2"/>
      </tp>
      <tp t="s">
        <v>#N/A Requesting Data...4238866122</v>
        <stp/>
        <stp>BDP|9503016633592618799</stp>
        <tr r="I221" s="2"/>
      </tp>
      <tp t="s">
        <v>#N/A Requesting Data...4261344808</v>
        <stp/>
        <stp>BDP|4596868518696381401</stp>
        <tr r="S119" s="2"/>
      </tp>
      <tp t="s">
        <v>#N/A Requesting Data...4242163392</v>
        <stp/>
        <stp>BDP|7994042889096899645</stp>
        <tr r="I233" s="2"/>
      </tp>
      <tp t="s">
        <v>#N/A N/A</v>
        <stp/>
        <stp>BDH|3781965769943604060</stp>
        <tr r="V269" s="2"/>
      </tp>
      <tp t="s">
        <v>#N/A Requesting Data...4170288229</v>
        <stp/>
        <stp>BDP|6756995756443785661</stp>
        <tr r="P189" s="2"/>
      </tp>
      <tp t="s">
        <v>#N/A Requesting Data...4092050861</v>
        <stp/>
        <stp>BDP|7480801861903546599</stp>
        <tr r="T252" s="2"/>
      </tp>
      <tp t="s">
        <v>#N/A Requesting Data...4099891049</v>
        <stp/>
        <stp>BDP|1207871788467525916</stp>
        <tr r="T207" s="2"/>
      </tp>
      <tp t="s">
        <v>#N/A Requesting Data...4238815883</v>
        <stp/>
        <stp>BDP|6978382049256967885</stp>
        <tr r="X195" s="2"/>
      </tp>
      <tp t="s">
        <v>#N/A N/A</v>
        <stp/>
        <stp>BDH|1106196447673445826</stp>
        <tr r="V193" s="2"/>
      </tp>
      <tp t="s">
        <v>#N/A Requesting Data...4101829965</v>
        <stp/>
        <stp>BDP|7902189594167272796</stp>
        <tr r="O40" s="2"/>
      </tp>
      <tp t="s">
        <v>#N/A Requesting Data...4164890380</v>
        <stp/>
        <stp>BDP|1441672462408795681</stp>
        <tr r="U55" s="2"/>
      </tp>
      <tp t="s">
        <v>#N/A Requesting Data...4289235752</v>
        <stp/>
        <stp>BDP|6975931956566625340</stp>
        <tr r="P194" s="2"/>
      </tp>
      <tp t="s">
        <v>#N/A Requesting Data...4107455717</v>
        <stp/>
        <stp>BDP|4852305514068162132</stp>
        <tr r="S116" s="2"/>
      </tp>
      <tp t="s">
        <v>#N/A Requesting Data...4209600799</v>
        <stp/>
        <stp>BDP|2977468261677060809</stp>
        <tr r="S130" s="2"/>
      </tp>
      <tp t="s">
        <v>#N/A Requesting Data...4092758216</v>
        <stp/>
        <stp>BDP|2086904253907530691</stp>
        <tr r="I83" s="2"/>
      </tp>
      <tp t="s">
        <v>#N/A N/A</v>
        <stp/>
        <stp>BDH|4078872424932986351</stp>
        <tr r="V220" s="2"/>
      </tp>
      <tp t="s">
        <v>#N/A N/A</v>
        <stp/>
        <stp>BDH|6590204498656473462</stp>
        <tr r="V231" s="2"/>
      </tp>
      <tp t="s">
        <v>#N/A Requesting Data...4203251380</v>
        <stp/>
        <stp>BDP|7153087027143614948</stp>
        <tr r="P231" s="2"/>
      </tp>
      <tp t="s">
        <v>#N/A Requesting Data...4175358041</v>
        <stp/>
        <stp>BDP|7831454214058695534</stp>
        <tr r="H176" s="2"/>
      </tp>
      <tp t="s">
        <v>#N/A Requesting Data...4108709383</v>
        <stp/>
        <stp>BDP|4028750712969934422</stp>
        <tr r="P155" s="2"/>
      </tp>
      <tp t="s">
        <v>#N/A Requesting Data...4150003235</v>
        <stp/>
        <stp>BDP|6287887236155319735</stp>
        <tr r="I235" s="2"/>
      </tp>
      <tp t="s">
        <v>#N/A Requesting Data...4099638443</v>
        <stp/>
        <stp>BDP|3944478750184464967</stp>
        <tr r="U43" s="2"/>
      </tp>
      <tp t="s">
        <v>#N/A Requesting Data...4166153974</v>
        <stp/>
        <stp>BDP|2745227811749932712</stp>
        <tr r="S2" s="2"/>
      </tp>
      <tp t="s">
        <v>#N/A Requesting Data...4252106919</v>
        <stp/>
        <stp>BDP|9607111316673508582</stp>
        <tr r="H187" s="2"/>
      </tp>
      <tp t="s">
        <v>#N/A N/A</v>
        <stp/>
        <stp>BDH|5621127307223668899</stp>
        <tr r="V111" s="2"/>
      </tp>
      <tp t="s">
        <v>#N/A Requesting Data...4188189915</v>
        <stp/>
        <stp>BDP|9869530690842760812</stp>
        <tr r="X75" s="2"/>
      </tp>
      <tp t="s">
        <v>#N/A N/A</v>
        <stp/>
        <stp>BDH|3788186283955894090</stp>
        <tr r="V137" s="2"/>
      </tp>
      <tp t="s">
        <v>#N/A Requesting Data...4153200570</v>
        <stp/>
        <stp>BDP|6674639540932696915</stp>
        <tr r="H107" s="2"/>
      </tp>
      <tp t="s">
        <v>#N/A Requesting Data...4238406943</v>
        <stp/>
        <stp>BDP|8876415419844229604</stp>
        <tr r="H171" s="2"/>
      </tp>
      <tp t="s">
        <v>#N/A Requesting Data...4162633960</v>
        <stp/>
        <stp>BDP|2260873556850210025</stp>
        <tr r="X56" s="2"/>
      </tp>
      <tp t="s">
        <v>#N/A Requesting Data...4202185900</v>
        <stp/>
        <stp>BDP|6355747966711285905</stp>
        <tr r="O160" s="2"/>
      </tp>
      <tp t="s">
        <v>#N/A Requesting Data...4232190698</v>
        <stp/>
        <stp>BDP|9568367541833009212</stp>
        <tr r="T16" s="2"/>
      </tp>
      <tp t="s">
        <v>#N/A Requesting Data...4168299179</v>
        <stp/>
        <stp>BDP|9339405039781997002</stp>
        <tr r="T148" s="2"/>
      </tp>
      <tp t="s">
        <v>#N/A Requesting Data...4128947294</v>
        <stp/>
        <stp>BDP|8010830295864275274</stp>
        <tr r="S282" s="2"/>
      </tp>
      <tp t="s">
        <v>#N/A Requesting Data...4200638959</v>
        <stp/>
        <stp>BDP|7034909833943654164</stp>
        <tr r="X65" s="2"/>
      </tp>
      <tp t="s">
        <v>#N/A Requesting Data...4133697996</v>
        <stp/>
        <stp>BDP|8360321344444488413</stp>
        <tr r="X134" s="2"/>
      </tp>
      <tp t="s">
        <v>#N/A Requesting Data...4286879917</v>
        <stp/>
        <stp>BDP|8182966687596786078</stp>
        <tr r="X230" s="2"/>
      </tp>
      <tp t="s">
        <v>#N/A Requesting Data...4235786249</v>
        <stp/>
        <stp>BDP|4366211307039494014</stp>
        <tr r="X280" s="2"/>
      </tp>
      <tp t="s">
        <v>#N/A Requesting Data...4138530704</v>
        <stp/>
        <stp>BDP|9218403930042567375</stp>
        <tr r="O97" s="2"/>
      </tp>
      <tp t="s">
        <v>#N/A Requesting Data...4263686102</v>
        <stp/>
        <stp>BDP|9415966187676453112</stp>
        <tr r="I217" s="2"/>
      </tp>
      <tp t="s">
        <v>#N/A N/A</v>
        <stp/>
        <stp>BDH|2653598864617225992</stp>
        <tr r="V58" s="2"/>
      </tp>
      <tp t="s">
        <v>#N/A Requesting Data...4268569762</v>
        <stp/>
        <stp>BDP|8542372314601633419</stp>
        <tr r="T78" s="2"/>
      </tp>
      <tp t="s">
        <v>#N/A Requesting Data...4250303070</v>
        <stp/>
        <stp>BDP|2460580353585679889</stp>
        <tr r="S171" s="2"/>
      </tp>
      <tp t="s">
        <v>#N/A Requesting Data...4267373574</v>
        <stp/>
        <stp>BDP|4578278592993618379</stp>
        <tr r="X252" s="2"/>
      </tp>
      <tp t="s">
        <v>#N/A Requesting Data...4217498126</v>
        <stp/>
        <stp>BDP|3291279184351745772</stp>
        <tr r="T60" s="2"/>
      </tp>
      <tp t="s">
        <v>#N/A Requesting Data...4275949547</v>
        <stp/>
        <stp>BDP|5127907785192754925</stp>
        <tr r="S241" s="2"/>
      </tp>
      <tp t="s">
        <v>#N/A Requesting Data...4129715072</v>
        <stp/>
        <stp>BDP|8913502839553146206</stp>
        <tr r="I256" s="2"/>
      </tp>
      <tp t="s">
        <v>#N/A Requesting Data...4265102994</v>
        <stp/>
        <stp>BDP|9039110011364259233</stp>
        <tr r="O225" s="2"/>
      </tp>
      <tp t="s">
        <v>#N/A Requesting Data...4237184058</v>
        <stp/>
        <stp>BDP|6918648259373721951</stp>
        <tr r="U289" s="2"/>
      </tp>
      <tp t="s">
        <v>#N/A Requesting Data...4264412244</v>
        <stp/>
        <stp>BDP|4405034699900951212</stp>
        <tr r="S176" s="2"/>
      </tp>
      <tp t="s">
        <v>#N/A Requesting Data...4190727830</v>
        <stp/>
        <stp>BDP|5563875941037405119</stp>
        <tr r="O34" s="2"/>
      </tp>
      <tp t="s">
        <v>#N/A Requesting Data...4151087535</v>
        <stp/>
        <stp>BDP|4823934857264282381</stp>
        <tr r="S46" s="2"/>
      </tp>
      <tp t="s">
        <v>#N/A Requesting Data...4150581869</v>
        <stp/>
        <stp>BDP|4257672171909049328</stp>
        <tr r="O122" s="2"/>
      </tp>
      <tp t="s">
        <v>#N/A Requesting Data...4273767960</v>
        <stp/>
        <stp>BDP|6497921371180850799</stp>
        <tr r="P60" s="2"/>
      </tp>
      <tp t="s">
        <v>#N/A Requesting Data...4252013984</v>
        <stp/>
        <stp>BDP|2617022512175518954</stp>
        <tr r="T74" s="2"/>
      </tp>
      <tp t="s">
        <v>#N/A Requesting Data...4221941274</v>
        <stp/>
        <stp>BDP|7780818815355770423</stp>
        <tr r="S135" s="2"/>
      </tp>
      <tp t="s">
        <v>#N/A Requesting Data...4201521494</v>
        <stp/>
        <stp>BDP|8563095964164642580</stp>
        <tr r="O258" s="2"/>
      </tp>
      <tp t="s">
        <v>#N/A N/A</v>
        <stp/>
        <stp>BDH|8098105711870689719</stp>
        <tr r="V138" s="2"/>
      </tp>
      <tp t="s">
        <v>#N/A Requesting Data...4196818052</v>
        <stp/>
        <stp>BDP|8095737070620010744</stp>
        <tr r="P180" s="2"/>
      </tp>
      <tp t="s">
        <v>#N/A Requesting Data...4262527324</v>
        <stp/>
        <stp>BDP|8473317167625570704</stp>
        <tr r="H216" s="2"/>
      </tp>
      <tp t="s">
        <v>#N/A N/A</v>
        <stp/>
        <stp>BDH|2568210742159726268</stp>
        <tr r="V63" s="2"/>
      </tp>
      <tp t="s">
        <v>#N/A Requesting Data...4290465454</v>
        <stp/>
        <stp>BDP|8167247604545597004</stp>
        <tr r="U236" s="2"/>
      </tp>
      <tp t="s">
        <v>#N/A Requesting Data...4233689279</v>
        <stp/>
        <stp>BDP|3256264905829764727</stp>
        <tr r="O21" s="2"/>
      </tp>
      <tp t="s">
        <v>#N/A Requesting Data...4165323418</v>
        <stp/>
        <stp>BDP|3678043936957581857</stp>
        <tr r="X9" s="2"/>
      </tp>
      <tp t="s">
        <v>#N/A Requesting Data...4193247914</v>
        <stp/>
        <stp>BDP|6973092042994182973</stp>
        <tr r="O145" s="2"/>
      </tp>
      <tp t="s">
        <v>#N/A Requesting Data...4270648811</v>
        <stp/>
        <stp>BDP|3985046719655912882</stp>
        <tr r="H46" s="2"/>
      </tp>
      <tp t="s">
        <v>#N/A N/A</v>
        <stp/>
        <stp>BDH|3784873754091830099</stp>
        <tr r="V68" s="2"/>
      </tp>
      <tp>
        <v>2.27</v>
        <stp/>
        <stp>BDP|442668625663082564|22</stp>
        <stp>BATIC AB Equity</stp>
        <stp>HIGH</stp>
        <tr r="M26" s="2"/>
      </tp>
      <tp>
        <v>16.459199999999999</v>
        <stp/>
        <stp>BDP|10402497102426615189|22</stp>
        <stp>MEDGULF AB Equity</stp>
        <stp>VWAP</stp>
        <tr r="N171" s="2"/>
      </tp>
      <tp>
        <v>13.25</v>
        <stp/>
        <stp>BDP|10275632040999335182|22</stp>
        <stp>GULFUNI AB Equity</stp>
        <stp>OPEN</stp>
        <tr r="K190" s="2"/>
      </tp>
      <tp>
        <v>45.8</v>
        <stp/>
        <stp>BDP|18162830360369911104|22</stp>
        <stp>TAMKEEN AB Equity</stp>
        <stp>OPEN</stp>
        <tr r="K36" s="2"/>
      </tp>
      <tp>
        <v>3.41</v>
        <stp/>
        <stp>BDP|3021938206965237569|22</stp>
        <stp>MEFIC AB Equity</stp>
        <stp>YEST_LAST_TRADE</stp>
        <tr r="G108" s="2"/>
      </tp>
      <tp>
        <v>114.7</v>
        <stp/>
        <stp>BDP|10888382022092239049|22</stp>
        <stp>ALDREES AB Equity</stp>
        <stp>HIGH</stp>
        <tr r="M46" s="2"/>
      </tp>
      <tp>
        <v>2.75</v>
        <stp/>
        <stp>BDP|123733535268882666|22</stp>
        <stp>SADR AB Equity</stp>
        <stp>ASK</stp>
        <tr r="R39" s="2"/>
      </tp>
      <tp>
        <v>7.64</v>
        <stp/>
        <stp>BDP|4049255511608429657|22</stp>
        <stp>MRNA AB Equity</stp>
        <stp>LAST_PRICE</stp>
        <tr r="B124" s="2"/>
        <tr r="C124" s="2"/>
      </tp>
      <tp>
        <v>11.8338</v>
        <stp/>
        <stp>BDP|6003226323374909715|22</stp>
        <stp>SAFCO AB Equity</stp>
        <stp>CHG_PCT_YTD_RT</stp>
        <tr r="F238" s="2"/>
      </tp>
      <tp>
        <v>8.2797999999999998</v>
        <stp/>
        <stp>BDP|6027683002981101398|22</stp>
        <stp>SISCO AB Equity</stp>
        <stp>CHG_PCT_YTD_RT</stp>
        <tr r="F284" s="2"/>
      </tp>
      <tp>
        <v>4428744</v>
        <stp/>
        <stp>BDP|1936556021456495540|22</stp>
        <stp>JARIR AB Equity</stp>
        <stp>VOLUME</stp>
        <tr r="J51" s="2"/>
      </tp>
      <tp>
        <v>1462852</v>
        <stp/>
        <stp>BDP|1182207210197895223|22</stp>
        <stp>JAHEZ AB Equity</stp>
        <stp>VOLUME</stp>
        <tr r="J62" s="2"/>
      </tp>
      <tp>
        <v>264556</v>
        <stp/>
        <stp>BDP|7321466221207016749|22</stp>
        <stp>RAOOM AB Equity</stp>
        <stp>VOLUME</stp>
        <tr r="J19" s="2"/>
      </tp>
      <tp>
        <v>14.2</v>
        <stp/>
        <stp>BDP|15740876878594183895|22</stp>
        <stp>SIPCHEM AB Equity</stp>
        <stp>LOW</stp>
        <tr r="L236" s="2"/>
      </tp>
      <tp>
        <v>71</v>
        <stp/>
        <stp>BDP|11721094526142985153|22</stp>
        <stp>RESEARCH AB Equity</stp>
        <stp>ASK</stp>
        <tr r="R242" s="2"/>
      </tp>
      <tp>
        <v>8.2799999999999994</v>
        <stp/>
        <stp>BDP|14077387909601642491|22</stp>
        <stp>ALINMAHO AB Equity</stp>
        <stp>BID</stp>
        <tr r="Q97" s="2"/>
      </tp>
      <tp>
        <v>132.30000000000001</v>
        <stp/>
        <stp>BDP|13307844688113301301|22</stp>
        <stp>TADAWULG AB Equity</stp>
        <stp>BID</stp>
        <tr r="Q120" s="2"/>
      </tp>
      <tp>
        <v>63</v>
        <stp/>
        <stp>BDP|16282250887509493975|22</stp>
        <stp>MOUWASAT AB Equity</stp>
        <stp>BID</stp>
        <tr r="Q156" s="2"/>
      </tp>
      <tp>
        <v>44.66</v>
        <stp/>
        <stp>BDP|14414158096720224523|22</stp>
        <stp>BUILDSTA AB Equity</stp>
        <stp>BID</stp>
        <tr r="Q44" s="2"/>
      </tp>
      <tp>
        <v>9.0322999999999993</v>
        <stp/>
        <stp>BDP|16750216178798492222|22</stp>
        <stp>SALAMA AB Equity</stp>
        <stp>CHG_PCT_YTD_RT</stp>
        <tr r="F172" s="2"/>
      </tp>
      <tp>
        <v>43.8</v>
        <stp/>
        <stp>BDP|875539722489213107|22</stp>
        <stp>STC AB Equity</stp>
        <stp>HIGH</stp>
        <tr r="M275" s="2"/>
      </tp>
      <tp>
        <v>2.6905000000000001</v>
        <stp/>
        <stp>BDP|9700506084628300026|22</stp>
        <stp>ALWASAIL AB Equity</stp>
        <stp>VWAP</stp>
        <tr r="N32" s="2"/>
      </tp>
      <tp>
        <v>8.7579999999999991</v>
        <stp/>
        <stp>BDP|966231932987638493|22</stp>
        <stp>ALSAIF AB Equity</stp>
        <stp>CHG_PCT_YTD_RT</stp>
        <tr r="F50" s="2"/>
      </tp>
      <tp>
        <v>654705</v>
        <stp/>
        <stp>BDP|11646175775511000768|22</stp>
        <stp>ALASEEL AB Equity</stp>
        <stp>VOLUME</stp>
        <tr r="J59" s="2"/>
      </tp>
      <tp>
        <v>99952</v>
        <stp/>
        <stp>BDP|15313810874219482310|22</stp>
        <stp>MARAFIQ AB Equity</stp>
        <stp>VOLUME</stp>
        <tr r="J288" s="2"/>
      </tp>
      <tp>
        <v>24.65</v>
        <stp/>
        <stp>BDP|16437193622312634676|22</stp>
        <stp>ALINMA AB Equity</stp>
        <stp>HIGH</stp>
        <tr r="M4" s="2"/>
      </tp>
      <tp t="s">
        <v>#N/A Requesting Data...4246443073</v>
        <stp/>
        <stp>BDP|1845633950019886397</stp>
        <tr r="U261" s="2"/>
      </tp>
      <tp t="s">
        <v>#N/A Requesting Data...4267162920</v>
        <stp/>
        <stp>BDP|9059810279938456663</stp>
        <tr r="O257" s="2"/>
      </tp>
      <tp t="s">
        <v>#N/A Requesting Data...4245093417</v>
        <stp/>
        <stp>BDP|3033999075981003464</stp>
        <tr r="T108" s="2"/>
      </tp>
      <tp t="s">
        <v>#N/A Requesting Data...4279537268</v>
        <stp/>
        <stp>BDP|2048004095150944362</stp>
        <tr r="O42" s="2"/>
      </tp>
      <tp t="s">
        <v>#N/A Requesting Data...4291816275</v>
        <stp/>
        <stp>BDP|8151878861807821951</stp>
        <tr r="X244" s="2"/>
      </tp>
      <tp t="s">
        <v>#N/A N/A</v>
        <stp/>
        <stp>BDH|2552981818992812077</stp>
        <tr r="V178" s="2"/>
      </tp>
      <tp t="s">
        <v>#N/A Requesting Data...4259079362</v>
        <stp/>
        <stp>BDP|8253599286068568538</stp>
        <tr r="U175" s="2"/>
      </tp>
      <tp t="s">
        <v>#N/A Requesting Data...4286708581</v>
        <stp/>
        <stp>BDP|7556581610252666904</stp>
        <tr r="P150" s="2"/>
      </tp>
      <tp t="s">
        <v>#N/A Requesting Data...4218432889</v>
        <stp/>
        <stp>BDP|4874462979456546991</stp>
        <tr r="I25" s="2"/>
      </tp>
      <tp t="s">
        <v>#N/A Requesting Data...4230138570</v>
        <stp/>
        <stp>BDP|3413593213906440918</stp>
        <tr r="U197" s="2"/>
      </tp>
      <tp t="s">
        <v>#N/A Requesting Data...4242104376</v>
        <stp/>
        <stp>BDP|8763380922437538637</stp>
        <tr r="P132" s="2"/>
      </tp>
      <tp t="s">
        <v>#N/A N/A</v>
        <stp/>
        <stp>BDH|7937242288371757490</stp>
        <tr r="V108" s="2"/>
      </tp>
      <tp t="s">
        <v>#N/A N/A</v>
        <stp/>
        <stp>BDH|6042969902201824672</stp>
        <tr r="V274" s="2"/>
      </tp>
      <tp t="s">
        <v>#N/A Requesting Data...4251091671</v>
        <stp/>
        <stp>BDP|4854873948147745783</stp>
        <tr r="O118" s="2"/>
      </tp>
      <tp t="s">
        <v>#N/A Requesting Data...4255602202</v>
        <stp/>
        <stp>BDP|1894192981088004889</stp>
        <tr r="U180" s="2"/>
      </tp>
      <tp t="s">
        <v>#N/A Requesting Data...4271526463</v>
        <stp/>
        <stp>BDP|4971433593395324420</stp>
        <tr r="O129" s="2"/>
      </tp>
      <tp t="s">
        <v>#N/A Requesting Data...4251969042</v>
        <stp/>
        <stp>BDP|2985983879974652060</stp>
        <tr r="T26" s="2"/>
      </tp>
      <tp t="s">
        <v>#N/A Requesting Data...4211507157</v>
        <stp/>
        <stp>BDP|9828442994845306924</stp>
        <tr r="O219" s="2"/>
      </tp>
      <tp t="s">
        <v>#N/A Requesting Data...4228308217</v>
        <stp/>
        <stp>BDP|2778802429379096973</stp>
        <tr r="H90" s="2"/>
      </tp>
      <tp t="s">
        <v>#N/A Requesting Data...4254169645</v>
        <stp/>
        <stp>BDP|8952196488391564849</stp>
        <tr r="S163" s="2"/>
      </tp>
      <tp t="s">
        <v>#N/A Requesting Data...4236686754</v>
        <stp/>
        <stp>BDP|5867085927028949776</stp>
        <tr r="S131" s="2"/>
      </tp>
      <tp t="s">
        <v>#N/A Requesting Data...4271374779</v>
        <stp/>
        <stp>BDP|3800783633637864826</stp>
        <tr r="X105" s="2"/>
      </tp>
      <tp t="s">
        <v>#N/A Requesting Data...4287357476</v>
        <stp/>
        <stp>BDP|6626589111179143300</stp>
        <tr r="H237" s="2"/>
      </tp>
      <tp t="s">
        <v>#N/A Requesting Data...4220005712</v>
        <stp/>
        <stp>BDP|3156694033546065853</stp>
        <tr r="T99" s="2"/>
      </tp>
      <tp t="s">
        <v>#N/A Requesting Data...4271960189</v>
        <stp/>
        <stp>BDP|5080257262871905802</stp>
        <tr r="S158" s="2"/>
      </tp>
      <tp t="s">
        <v>#N/A Requesting Data...4237557005</v>
        <stp/>
        <stp>BDP|2537318886199438894</stp>
        <tr r="S250" s="2"/>
      </tp>
      <tp t="s">
        <v>#N/A Requesting Data...4255765163</v>
        <stp/>
        <stp>BDP|7679083125825752834</stp>
        <tr r="O291" s="2"/>
      </tp>
      <tp t="s">
        <v>#N/A Requesting Data...4252433009</v>
        <stp/>
        <stp>BDP|8032691462904012448</stp>
        <tr r="T50" s="2"/>
      </tp>
      <tp t="s">
        <v>#N/A Requesting Data...4227331812</v>
        <stp/>
        <stp>BDP|2682690959570853925</stp>
        <tr r="H285" s="2"/>
      </tp>
      <tp t="s">
        <v>#N/A Requesting Data...4220624886</v>
        <stp/>
        <stp>BDP|2885305792400343053</stp>
        <tr r="X13" s="2"/>
      </tp>
      <tp t="s">
        <v>#N/A Requesting Data...4257883634</v>
        <stp/>
        <stp>BDP|6531394620809186617</stp>
        <tr r="P96" s="2"/>
      </tp>
      <tp t="s">
        <v>#N/A Requesting Data...4225373527</v>
        <stp/>
        <stp>BDP|9516600771153180383</stp>
        <tr r="P74" s="2"/>
      </tp>
      <tp t="s">
        <v>#N/A Requesting Data...4253132643</v>
        <stp/>
        <stp>BDP|7112155234198538585</stp>
        <tr r="P200" s="2"/>
      </tp>
      <tp t="s">
        <v>#N/A N/A</v>
        <stp/>
        <stp>BDH|4068287614696102905</stp>
        <tr r="V2" s="2"/>
      </tp>
      <tp t="s">
        <v>#N/A N/A</v>
        <stp/>
        <stp>BDH|9488805070837997903</stp>
        <tr r="V12" s="2"/>
      </tp>
      <tp t="s">
        <v>#N/A Requesting Data...4284904672</v>
        <stp/>
        <stp>BDP|6387481531278172193</stp>
        <tr r="U268" s="2"/>
      </tp>
      <tp t="s">
        <v>#N/A Requesting Data...4287811781</v>
        <stp/>
        <stp>BDP|4856215566568999042</stp>
        <tr r="X128" s="2"/>
      </tp>
      <tp t="s">
        <v>#N/A Requesting Data...4258485584</v>
        <stp/>
        <stp>BDP|3881510900148228698</stp>
        <tr r="P279" s="2"/>
      </tp>
      <tp t="s">
        <v>#N/A N/A</v>
        <stp/>
        <stp>BDH|8553074400789078906</stp>
        <tr r="V128" s="2"/>
      </tp>
      <tp t="s">
        <v>#N/A Requesting Data...4272426552</v>
        <stp/>
        <stp>BDP|8353485613311233492</stp>
        <tr r="O177" s="2"/>
      </tp>
      <tp t="s">
        <v>#N/A Requesting Data...4262959279</v>
        <stp/>
        <stp>BDP|5143554288124711487</stp>
        <tr r="X267" s="2"/>
      </tp>
      <tp t="s">
        <v>#N/A N/A</v>
        <stp/>
        <stp>BDH|3399831233645891584</stp>
        <tr r="V246" s="2"/>
      </tp>
      <tp t="s">
        <v>#N/A N/A</v>
        <stp/>
        <stp>BDH|1143821324026472505</stp>
        <tr r="V256" s="2"/>
      </tp>
      <tp t="s">
        <v>#N/A Requesting Data...4260495944</v>
        <stp/>
        <stp>BDP|1429244682902756150</stp>
        <tr r="O4" s="2"/>
      </tp>
      <tp t="s">
        <v>#N/A Requesting Data...4244137232</v>
        <stp/>
        <stp>BDP|5605080694971827525</stp>
        <tr r="U66" s="2"/>
      </tp>
      <tp t="s">
        <v>#N/A Requesting Data...4281981233</v>
        <stp/>
        <stp>BDP|5359270834158802486</stp>
        <tr r="X83" s="2"/>
      </tp>
      <tp t="s">
        <v>#N/A Requesting Data...4255341585</v>
        <stp/>
        <stp>BDP|8971442103200920470</stp>
        <tr r="U179" s="2"/>
      </tp>
      <tp t="s">
        <v>#N/A Requesting Data...4278244207</v>
        <stp/>
        <stp>BDP|5720192239716769918</stp>
        <tr r="O143" s="2"/>
      </tp>
      <tp t="s">
        <v>#N/A Requesting Data...4271762986</v>
        <stp/>
        <stp>BDP|1740461780714367139</stp>
        <tr r="U121" s="2"/>
      </tp>
      <tp t="s">
        <v>#N/A Requesting Data...4267546326</v>
        <stp/>
        <stp>BDP|3040817140423777470</stp>
        <tr r="H27" s="2"/>
      </tp>
      <tp t="s">
        <v>#N/A Requesting Data...4279395414</v>
        <stp/>
        <stp>BDP|5740934447989080924</stp>
        <tr r="H138" s="2"/>
      </tp>
      <tp t="s">
        <v>#N/A Requesting Data...4275445540</v>
        <stp/>
        <stp>BDP|9944029009913259215</stp>
        <tr r="T76" s="2"/>
      </tp>
      <tp t="s">
        <v>#N/A Requesting Data...4284485145</v>
        <stp/>
        <stp>BDP|6485176954493856996</stp>
        <tr r="H135" s="2"/>
      </tp>
      <tp t="s">
        <v>#N/A Requesting Data...4265020211</v>
        <stp/>
        <stp>BDP|8692619342615570760</stp>
        <tr r="I180" s="2"/>
      </tp>
      <tp t="s">
        <v>#N/A Requesting Data...4252334409</v>
        <stp/>
        <stp>BDP|2281724617218289433</stp>
        <tr r="T146" s="2"/>
      </tp>
      <tp t="s">
        <v>#N/A N/A</v>
        <stp/>
        <stp>BDH|8225472535117645007</stp>
        <tr r="V93" s="2"/>
      </tp>
      <tp t="s">
        <v>#N/A Requesting Data...4257060501</v>
        <stp/>
        <stp>BDP|6696259905114657872</stp>
        <tr r="P2" s="2"/>
      </tp>
      <tp t="s">
        <v>#N/A Requesting Data...4270166053</v>
        <stp/>
        <stp>BDP|9462272949027898060</stp>
        <tr r="I203" s="2"/>
      </tp>
      <tp t="s">
        <v>#N/A Requesting Data...4284418080</v>
        <stp/>
        <stp>BDP|5880604032449693185</stp>
        <tr r="X42" s="2"/>
      </tp>
      <tp t="s">
        <v>#N/A N/A</v>
        <stp/>
        <stp>BDH|9202249504723744016</stp>
        <tr r="V179" s="2"/>
      </tp>
      <tp t="s">
        <v>#N/A Requesting Data...4286583902</v>
        <stp/>
        <stp>BDP|6121558845369129654</stp>
        <tr r="U217" s="2"/>
      </tp>
      <tp t="s">
        <v>#N/A Requesting Data...4264757623</v>
        <stp/>
        <stp>BDP|8336260324159225963</stp>
        <tr r="O43" s="2"/>
      </tp>
      <tp t="s">
        <v>#N/A Requesting Data...4268104968</v>
        <stp/>
        <stp>BDP|1694090633228094290</stp>
        <tr r="T130" s="2"/>
      </tp>
      <tp t="s">
        <v>#N/A Requesting Data...4273541395</v>
        <stp/>
        <stp>BDP|5068179702519304538</stp>
        <tr r="I185" s="2"/>
      </tp>
      <tp t="s">
        <v>#N/A Requesting Data...4286003895</v>
        <stp/>
        <stp>BDP|8247425298708483598</stp>
        <tr r="I163" s="2"/>
      </tp>
      <tp t="s">
        <v>#N/A N/A</v>
        <stp/>
        <stp>BDP|1673585773475751184|22</stp>
        <stp>CHEMANOL AB Equity</stp>
        <stp>VOLUME</stp>
        <tr r="J234" s="2"/>
      </tp>
      <tp>
        <v>28.26</v>
        <stp/>
        <stp>BDP|7223350607914548910|22</stp>
        <stp>SPIMACO AB Equity</stp>
        <stp>LAST_PRICE</stp>
        <tr r="B246" s="2"/>
        <tr r="C246" s="2"/>
      </tp>
      <tp>
        <v>11.26</v>
        <stp/>
        <stp>BDP|3354764838659742687|22</stp>
        <stp>CITYC AB Equity</stp>
        <stp>YEST_LAST_TRADE</stp>
        <tr r="G223" s="2"/>
      </tp>
      <tp>
        <v>5.3841000000000001</v>
        <stp/>
        <stp>BDP|7425605985998199740|22</stp>
        <stp>FIPCO AB Equity</stp>
        <stp>CHG_PCT_YTD_RT</stp>
        <tr r="F232" s="2"/>
      </tp>
      <tp>
        <v>-2.931</v>
        <stp/>
        <stp>BDP|4371376008237795174|22</stp>
        <stp>SPM AB Equity</stp>
        <stp>CHG_PCT_1M_RT</stp>
        <tr r="E215" s="2"/>
      </tp>
      <tp>
        <v>1386455</v>
        <stp/>
        <stp>BDP|3028327024760376050|22</stp>
        <stp>TAACO AB Equity</stp>
        <stp>VOLUME</stp>
        <tr r="J141" s="2"/>
      </tp>
      <tp>
        <v>60.35</v>
        <stp/>
        <stp>BDP|11358130970571226742|22</stp>
        <stp>EEC AB Equity</stp>
        <stp>YEST_LAST_TRADE</stp>
        <tr r="G274" s="2"/>
      </tp>
      <tp t="s">
        <v>#N/A N/A</v>
        <stp/>
        <stp>BDH|70269756472066069</stp>
        <tr r="V46" s="2"/>
      </tp>
      <tp>
        <v>3899578</v>
        <stp/>
        <stp>BDP|15968345661898359407|22</stp>
        <stp>PETROR AB Equity</stp>
        <stp>VOLUME</stp>
        <tr r="J89" s="2"/>
      </tp>
      <tp t="s">
        <v>#N/A N/A</v>
        <stp/>
        <stp>BDH|48415505450645124</stp>
        <tr r="V192" s="2"/>
      </tp>
      <tp>
        <v>24.2</v>
        <stp/>
        <stp>BDP|14157308551574807289|22</stp>
        <stp>ALBI AB Equity</stp>
        <stp>YEST_LAST_TRADE</stp>
        <tr r="G5" s="2"/>
      </tp>
      <tp>
        <v>23.5</v>
        <stp/>
        <stp>BDP|3925543253305775826|22</stp>
        <stp>ALMASARA AB Equity</stp>
        <stp>OPEN</stp>
        <tr r="K78" s="2"/>
      </tp>
      <tp>
        <v>102.01819999999999</v>
        <stp/>
        <stp>BDP|9942536121127160741|22</stp>
        <stp>ALMAWARI AB Equity</stp>
        <stp>VWAP</stp>
        <tr r="N38" s="2"/>
      </tp>
      <tp>
        <v>188.7</v>
        <stp/>
        <stp>BDP|14694639160635162489|22</stp>
        <stp>ACWA AB Equity</stp>
        <stp>YEST_LAST_TRADE</stp>
        <tr r="G289" s="2"/>
      </tp>
      <tp>
        <v>227</v>
        <stp/>
        <stp>BDP|2232846169658863465|22</stp>
        <stp>EASTPIPE AB Equity</stp>
        <stp>OPEN</stp>
        <tr r="K217" s="2"/>
      </tp>
      <tp>
        <v>10.93</v>
        <stp/>
        <stp>BDP|17934480086192271140|22</stp>
        <stp>ALJAZIRA AB Equity</stp>
        <stp>BID</stp>
        <tr r="Q102" s="2"/>
      </tp>
      <tp>
        <v>48.02</v>
        <stp/>
        <stp>BDP|16597455200564626112|22</stp>
        <stp>ARABIANM AB Equity</stp>
        <stp>ASK</stp>
        <tr r="R138" s="2"/>
      </tp>
      <tp>
        <v>6.84</v>
        <stp/>
        <stp>BDP|1994265596303190262|22</stp>
        <stp>ALETIHAD AB Equity</stp>
        <stp>HIGH</stp>
        <tr r="M180" s="2"/>
      </tp>
      <tp>
        <v>9.0399999999999991</v>
        <stp/>
        <stp>BDP|14622495014801978424|22</stp>
        <stp>NIC AB Equity</stp>
        <stp>LAST_PRICE</stp>
        <tr r="C224" s="2"/>
        <tr r="B224" s="2"/>
      </tp>
      <tp>
        <v>4.3569998741149902</v>
        <stp/>
        <stp>BDP|2955323685343883593|22</stp>
        <stp>NGCO AB Equity</stp>
        <stp>RT_PX_CHG_PCT_1D</stp>
        <tr r="D199" s="2"/>
      </tp>
      <tp>
        <v>14.96</v>
        <stp/>
        <stp>BDP|13005455018895939699|22</stp>
        <stp>SHL AB Equity</stp>
        <stp>LAST_PRICE</stp>
        <tr r="B118" s="2"/>
        <tr r="C118" s="2"/>
      </tp>
      <tp>
        <v>0.23999999463558197</v>
        <stp/>
        <stp>BDP|6638046562987453727|22</stp>
        <stp>LIVA AB Equity</stp>
        <stp>RT_PX_CHG_PCT_1D</stp>
        <tr r="D173" s="2"/>
      </tp>
      <tp>
        <v>4.62</v>
        <stp/>
        <stp>BDP|14655927926653918710|22</stp>
        <stp>MULKIA AB Equity</stp>
        <stp>HIGH</stp>
        <tr r="M100" s="2"/>
      </tp>
      <tp>
        <v>63402</v>
        <stp/>
        <stp>BDP|12228387012275270197|22</stp>
        <stp>ALDAWAA AB Equity</stp>
        <stp>VOLUME</stp>
        <tr r="J81" s="2"/>
      </tp>
      <tp t="s">
        <v>#N/A Requesting Data...2562895179</v>
        <stp/>
        <stp>BDP|3964509687546046143</stp>
        <tr r="T284" s="2"/>
      </tp>
      <tp t="s">
        <v>#N/A N/A</v>
        <stp/>
        <stp>BDH|8386715889657173903</stp>
        <tr r="V140" s="2"/>
      </tp>
      <tp>
        <v>0.86369997262954712</v>
        <stp/>
        <stp>BDP|1179275165368408363|22</stp>
        <stp>LUMI AB Equity</stp>
        <stp>RT_PX_CHG_PCT_1D</stp>
        <tr r="D280" s="2"/>
      </tp>
      <tp t="s">
        <v>#N/A Requesting Data...4247002761</v>
        <stp/>
        <stp>BDP|2995276468646847952</stp>
        <tr r="H82" s="2"/>
      </tp>
      <tp t="s">
        <v>#N/A Requesting Data...1653967456</v>
        <stp/>
        <stp>BDP|7998288855349929064</stp>
        <tr r="S198" s="2"/>
      </tp>
      <tp t="s">
        <v>#N/A Requesting Data...2575503301</v>
        <stp/>
        <stp>BDP|1997844041131224559</stp>
        <tr r="X97" s="2"/>
      </tp>
      <tp t="s">
        <v>#N/A Requesting Data...2343321083</v>
        <stp/>
        <stp>BDP|7655560035021914940</stp>
        <tr r="X239" s="2"/>
      </tp>
      <tp t="s">
        <v>#N/A Requesting Data...875747791</v>
        <stp/>
        <stp>BDP|8736064732141396397</stp>
        <tr r="U291" s="2"/>
      </tp>
      <tp t="s">
        <v>#N/A Requesting Data...743543440</v>
        <stp/>
        <stp>BDP|8520018726291210298</stp>
        <tr r="H256" s="2"/>
      </tp>
      <tp t="s">
        <v>#N/A Requesting Data...1855831941</v>
        <stp/>
        <stp>BDP|9844263322080267073</stp>
        <tr r="S87" s="2"/>
      </tp>
      <tp t="s">
        <v>#N/A N/A</v>
        <stp/>
        <stp>BDH|7694539119378503201</stp>
        <tr r="V238" s="2"/>
      </tp>
      <tp>
        <v>5.9836997985839844</v>
        <stp/>
        <stp>BDP|1779863662433710234|22</stp>
        <stp>FPCO AB Equity</stp>
        <stp>RT_PX_CHG_PCT_1D</stp>
        <tr r="D147" s="2"/>
      </tp>
      <tp t="s">
        <v>#N/A Requesting Data...2251236869</v>
        <stp/>
        <stp>BDP|8139682300014185368</stp>
        <tr r="I228" s="2"/>
      </tp>
      <tp t="s">
        <v>#N/A Requesting Data...1443838683</v>
        <stp/>
        <stp>BDP|9661499607903225747</stp>
        <tr r="T198" s="2"/>
      </tp>
      <tp t="s">
        <v>#N/A Requesting Data...3949512558</v>
        <stp/>
        <stp>BDP|4281092556500476864</stp>
        <tr r="T12" s="2"/>
      </tp>
      <tp t="s">
        <v>#N/A Requesting Data...2380827732</v>
        <stp/>
        <stp>BDP|4597769538208647127</stp>
        <tr r="O204" s="2"/>
      </tp>
      <tp t="s">
        <v>#N/A Requesting Data...1482005105</v>
        <stp/>
        <stp>BDP|7935179170999168106</stp>
        <tr r="O282" s="2"/>
      </tp>
      <tp t="s">
        <v>#N/A Requesting Data...1091163012</v>
        <stp/>
        <stp>BDP|7727773215108203083</stp>
        <tr r="S193" s="2"/>
      </tp>
      <tp t="s">
        <v>#N/A N/A</v>
        <stp/>
        <stp>BDH|7063954460244284580</stp>
        <tr r="V224" s="2"/>
      </tp>
      <tp t="s">
        <v>#N/A Requesting Data...3658697296</v>
        <stp/>
        <stp>BDP|3714472701816426891</stp>
        <tr r="T211" s="2"/>
      </tp>
      <tp t="s">
        <v>#N/A Requesting Data...3034231423</v>
        <stp/>
        <stp>BDP|5193837798218368556</stp>
        <tr r="T197" s="2"/>
      </tp>
      <tp t="s">
        <v>#N/A Requesting Data...1697530893</v>
        <stp/>
        <stp>BDP|9435750207402298580</stp>
        <tr r="O268" s="2"/>
      </tp>
      <tp t="s">
        <v>#N/A Requesting Data...4046800658</v>
        <stp/>
        <stp>BDP|1420414218465501843</stp>
        <tr r="I67" s="2"/>
      </tp>
      <tp t="s">
        <v>#N/A Requesting Data...3122693962</v>
        <stp/>
        <stp>BDP|9110075825711664391</stp>
        <tr r="I174" s="2"/>
      </tp>
      <tp t="s">
        <v>#N/A Requesting Data...2196678493</v>
        <stp/>
        <stp>BDP|3704525450953118994</stp>
        <tr r="P217" s="2"/>
      </tp>
      <tp t="s">
        <v>#N/A Requesting Data...1675379875</v>
        <stp/>
        <stp>BDP|2568126790431980230</stp>
        <tr r="U136" s="2"/>
      </tp>
      <tp t="s">
        <v>#N/A Requesting Data...48353608</v>
        <stp/>
        <stp>BDP|5053244833788806523</stp>
        <tr r="X165" s="2"/>
      </tp>
      <tp t="s">
        <v>#N/A Requesting Data...2284413562</v>
        <stp/>
        <stp>BDP|1992555488673881615</stp>
        <tr r="P85" s="2"/>
      </tp>
      <tp t="s">
        <v>#N/A N/A</v>
        <stp/>
        <stp>BDH|8302131923410633287</stp>
        <tr r="V219" s="2"/>
      </tp>
      <tp t="s">
        <v>#N/A Requesting Data...769114209</v>
        <stp/>
        <stp>BDP|4856819147159410888</stp>
        <tr r="P252" s="2"/>
      </tp>
      <tp t="s">
        <v>#N/A N/A</v>
        <stp/>
        <stp>BDH|1421896380341704983</stp>
        <tr r="V222" s="2"/>
      </tp>
      <tp t="s">
        <v>#N/A Requesting Data...2151619128</v>
        <stp/>
        <stp>BDP|8901790740047484574</stp>
        <tr r="P68" s="2"/>
      </tp>
      <tp t="s">
        <v>#N/A Requesting Data...2278123686</v>
        <stp/>
        <stp>BDP|8091273163524221159</stp>
        <tr r="P59" s="2"/>
      </tp>
      <tp t="s">
        <v>#N/A Requesting Data...1246584024</v>
        <stp/>
        <stp>BDP|7552166580683362435</stp>
        <tr r="P224" s="2"/>
      </tp>
      <tp t="s">
        <v>#N/A Requesting Data...2724963100</v>
        <stp/>
        <stp>BDP|5622764927560493934</stp>
        <tr r="X68" s="2"/>
      </tp>
      <tp t="s">
        <v>#N/A Requesting Data...3546565972</v>
        <stp/>
        <stp>BDP|8828319632259335884</stp>
        <tr r="T106" s="2"/>
      </tp>
      <tp t="s">
        <v>#N/A Requesting Data...2113783790</v>
        <stp/>
        <stp>BDP|6316263383940582532</stp>
        <tr r="P209" s="2"/>
      </tp>
      <tp t="s">
        <v>#N/A Requesting Data...2325884974</v>
        <stp/>
        <stp>BDP|7507404640417302962</stp>
        <tr r="I265" s="2"/>
      </tp>
      <tp t="s">
        <v>#N/A Requesting Data...4135399478</v>
        <stp/>
        <stp>BDP|8548169616738265967</stp>
        <tr r="T128" s="2"/>
      </tp>
      <tp t="s">
        <v>#N/A Requesting Data...3259326325</v>
        <stp/>
        <stp>BDP|7289970315982101400</stp>
        <tr r="X91" s="2"/>
      </tp>
      <tp t="s">
        <v>#N/A Requesting Data...2806680293</v>
        <stp/>
        <stp>BDP|3891038396456578590</stp>
        <tr r="O161" s="2"/>
      </tp>
      <tp t="s">
        <v>#N/A Requesting Data...968776828</v>
        <stp/>
        <stp>BDP|1228519000768636548</stp>
        <tr r="X293" s="2"/>
      </tp>
      <tp t="s">
        <v>#N/A Requesting Data...2172977391</v>
        <stp/>
        <stp>BDP|4121835025177629002</stp>
        <tr r="U120" s="2"/>
      </tp>
      <tp t="s">
        <v>#N/A N/A</v>
        <stp/>
        <stp>BDH|3710962115086472417</stp>
        <tr r="V91" s="2"/>
      </tp>
      <tp t="s">
        <v>#N/A Requesting Data...1101499404</v>
        <stp/>
        <stp>BDP|4261386329909525503</stp>
        <tr r="T104" s="2"/>
      </tp>
      <tp t="s">
        <v>#N/A Requesting Data...815486393</v>
        <stp/>
        <stp>BDP|2254819046074613357</stp>
        <tr r="T91" s="2"/>
      </tp>
      <tp t="s">
        <v>#N/A Requesting Data...2587945190</v>
        <stp/>
        <stp>BDP|5123277235945680831</stp>
        <tr r="H109" s="2"/>
      </tp>
      <tp t="s">
        <v>#N/A N/A</v>
        <stp/>
        <stp>BDH|6386727184381398104</stp>
        <tr r="V260" s="2"/>
      </tp>
      <tp t="s">
        <v>#N/A Requesting Data...3670568446</v>
        <stp/>
        <stp>BDP|1781533062272238931</stp>
        <tr r="H235" s="2"/>
      </tp>
      <tp t="s">
        <v>#N/A Requesting Data...2112629586</v>
        <stp/>
        <stp>BDP|7553562113429070378</stp>
        <tr r="O25" s="2"/>
      </tp>
      <tp t="s">
        <v>#N/A Requesting Data...620656334</v>
        <stp/>
        <stp>BDP|2809643788013119621</stp>
        <tr r="X262" s="2"/>
      </tp>
      <tp t="s">
        <v>#N/A Requesting Data...2436072740</v>
        <stp/>
        <stp>BDP|4250811355403171304</stp>
        <tr r="T9" s="2"/>
      </tp>
      <tp t="s">
        <v>#N/A Requesting Data...3985330394</v>
        <stp/>
        <stp>BDP|1469021222918098233</stp>
        <tr r="U26" s="2"/>
      </tp>
      <tp t="s">
        <v>#N/A N/A</v>
        <stp/>
        <stp>BDH|1581869946242045624</stp>
        <tr r="V112" s="2"/>
      </tp>
      <tp t="s">
        <v>#N/A Requesting Data...1907042699</v>
        <stp/>
        <stp>BDP|9623374068271491494</stp>
        <tr r="H179" s="2"/>
      </tp>
      <tp t="s">
        <v>#N/A Requesting Data...3555705066</v>
        <stp/>
        <stp>BDP|1421040547465781940</stp>
        <tr r="S70" s="2"/>
      </tp>
      <tp t="s">
        <v>#N/A Requesting Data...1228478103</v>
        <stp/>
        <stp>BDP|2178248996594114471</stp>
        <tr r="T237" s="2"/>
      </tp>
      <tp t="s">
        <v>#N/A Requesting Data...1832015746</v>
        <stp/>
        <stp>BDP|6795007493064155207</stp>
        <tr r="S202" s="2"/>
      </tp>
      <tp t="s">
        <v>#N/A Requesting Data...4096333571</v>
        <stp/>
        <stp>BDP|2404945273535283047</stp>
        <tr r="P156" s="2"/>
      </tp>
      <tp t="s">
        <v>#N/A Requesting Data...1324968389</v>
        <stp/>
        <stp>BDP|7416396460968195394</stp>
        <tr r="H220" s="2"/>
      </tp>
      <tp t="s">
        <v>#N/A Requesting Data...3538779191</v>
        <stp/>
        <stp>BDP|6593477090040791203</stp>
        <tr r="T5" s="2"/>
      </tp>
      <tp t="s">
        <v>#N/A Requesting Data...3811364897</v>
        <stp/>
        <stp>BDP|9548143763183440436</stp>
        <tr r="I111" s="2"/>
      </tp>
      <tp t="s">
        <v>#N/A Requesting Data...2726973228</v>
        <stp/>
        <stp>BDP|4636938583999321504</stp>
        <tr r="T72" s="2"/>
      </tp>
      <tp>
        <v>16.3</v>
        <stp/>
        <stp>BDP|5055405108329006772|22</stp>
        <stp>ASLAK AB Equity</stp>
        <stp>YEST_LAST_TRADE</stp>
        <tr r="G219" s="2"/>
      </tp>
      <tp>
        <v>13.2</v>
        <stp/>
        <stp>BDP|55742447209890051|22</stp>
        <stp>SIBC AB Equity</stp>
        <stp>OPEN</stp>
        <tr r="K11" s="2"/>
      </tp>
      <tp>
        <v>41.937600000000003</v>
        <stp/>
        <stp>BDP|13995407245444889579|22</stp>
        <stp>YAMAMAH AB Equity</stp>
        <stp>VWAP</stp>
        <tr r="N214" s="2"/>
      </tp>
      <tp>
        <v>25.52</v>
        <stp/>
        <stp>BDP|802049656436380795|22</stp>
        <stp>YACCO AB Equity</stp>
        <stp>HIGH</stp>
        <tr r="M222" s="2"/>
      </tp>
      <tp>
        <v>-2.8422000000000001</v>
        <stp/>
        <stp>BDP|4807745703744840636|22</stp>
        <stp>SMCHEALT AB Equity</stp>
        <stp>CHG_PCT_YTD_RT</stp>
        <tr r="F150" s="2"/>
      </tp>
      <tp>
        <v>4.274</v>
        <stp/>
        <stp>BDP|1996368453597779035|22</stp>
        <stp>MCDCO AB Equity</stp>
        <stp>CHG_PCT_YTD_RT</stp>
        <tr r="F257" s="2"/>
      </tp>
      <tp>
        <v>-7.1757</v>
        <stp/>
        <stp>BDP|8078789112379128688|22</stp>
        <stp>SSP AB Equity</stp>
        <stp>CHG_PCT_1M_RT</stp>
        <tr r="E193" s="2"/>
      </tp>
      <tp>
        <v>216373</v>
        <stp/>
        <stp>BDP|9157451139611155301|22</stp>
        <stp>BANAN AB Equity</stp>
        <stp>VOLUME</stp>
        <tr r="J256" s="2"/>
      </tp>
      <tp>
        <v>167094</v>
        <stp/>
        <stp>BDP|1012675390155468497|22</stp>
        <stp>TACCO AB Equity</stp>
        <stp>VOLUME</stp>
        <tr r="J212" s="2"/>
      </tp>
      <tp>
        <v>12.3</v>
        <stp/>
        <stp>BDP|11914521119621123443|22</stp>
        <stp>KEC AB Equity</stp>
        <stp>YEST_LAST_TRADE</stp>
        <tr r="G263" s="2"/>
      </tp>
      <tp>
        <v>9.0299999999999994</v>
        <stp/>
        <stp>BDP|10369164251555134426|22</stp>
        <stp>NIC AB Equity</stp>
        <stp>YEST_LAST_TRADE</stp>
        <tr r="G224" s="2"/>
      </tp>
      <tp>
        <v>28</v>
        <stp/>
        <stp>BDP|10864740658743258574|22</stp>
        <stp>SRE AB Equity</stp>
        <stp>YEST_LAST_TRADE</stp>
        <tr r="G251" s="2"/>
      </tp>
      <tp>
        <v>4.82</v>
        <stp/>
        <stp>BDP|15663915950213569688|22</stp>
        <stp>ALINMARE AB Equity</stp>
        <stp>BID</stp>
        <tr r="Q96" s="2"/>
      </tp>
      <tp>
        <v>212.43049999999999</v>
        <stp/>
        <stp>BDP|9401286057594554306|22</stp>
        <stp>SULAIMAN AB Equity</stp>
        <stp>VWAP</stp>
        <tr r="N153" s="2"/>
      </tp>
      <tp>
        <v>158797</v>
        <stp/>
        <stp>BDP|15922631704608706888|22</stp>
        <stp>RAYDAN AB Equity</stp>
        <stp>VOLUME</stp>
        <tr r="J73" s="2"/>
      </tp>
      <tp>
        <v>29.38</v>
        <stp/>
        <stp>BDP|10710846028322537574|22</stp>
        <stp>EQUIPMEN AB Equity</stp>
        <stp>BID</stp>
        <tr r="Q151" s="2"/>
      </tp>
      <tp>
        <v>10.86</v>
        <stp/>
        <stp>BDP|3703354994678307820|22</stp>
        <stp>ALJAZIRA AB Equity</stp>
        <stp>OPEN</stp>
        <tr r="K102" s="2"/>
      </tp>
      <tp>
        <v>6.8429000000000002</v>
        <stp/>
        <stp>BDP|11220457682865559389|22</stp>
        <stp>ALSAIF AB Equity</stp>
        <stp>VWAP</stp>
        <tr r="N50" s="2"/>
      </tp>
      <tp>
        <v>281315</v>
        <stp/>
        <stp>BDP|16131695328003879619|22</stp>
        <stp>ALOMRAN AB Equity</stp>
        <stp>VOLUME</stp>
        <tr r="J25" s="2"/>
      </tp>
      <tp>
        <v>221</v>
        <stp/>
        <stp>BDP|25098054425265479|22</stp>
        <stp>EASTPIPE AB Equity</stp>
        <stp>ASK</stp>
        <tr r="R217" s="2"/>
      </tp>
      <tp>
        <v>23.8</v>
        <stp/>
        <stp>BDP|10425457234223901922|22</stp>
        <stp>SCH AB Equity</stp>
        <stp>LAST_PRICE</stp>
        <tr r="C47" s="2"/>
        <tr r="B47" s="2"/>
      </tp>
      <tp>
        <v>14.5</v>
        <stp/>
        <stp>BDP|16197569719291634934|22</stp>
        <stp>CENOMI AB Equity</stp>
        <stp>HIGH</stp>
        <tr r="M49" s="2"/>
      </tp>
      <tp>
        <v>3.4031000137329102</v>
        <stp/>
        <stp>BDP|5915415987319133157|22</stp>
        <stp>GGCI AB Equity</stp>
        <stp>RT_PX_CHG_PCT_1D</stp>
        <tr r="D187" s="2"/>
      </tp>
      <tp t="s">
        <v>#N/A Requesting Data...3814253499</v>
        <stp/>
        <stp>BDP|1268187505418062252</stp>
        <tr r="S147" s="2"/>
      </tp>
      <tp t="s">
        <v>#N/A Requesting Data...2322074380</v>
        <stp/>
        <stp>BDP|1831633545188483109</stp>
        <tr r="U159" s="2"/>
      </tp>
      <tp t="s">
        <v>#N/A Requesting Data...4038168374</v>
        <stp/>
        <stp>BDP|4840901467842148349</stp>
        <tr r="O207" s="2"/>
      </tp>
      <tp t="s">
        <v>#N/A Requesting Data...138197309</v>
        <stp/>
        <stp>BDP|6185063418454632924</stp>
        <tr r="U145" s="2"/>
      </tp>
      <tp>
        <v>64930</v>
        <stp/>
        <stp>BDP|18093612233440493365|22</stp>
        <stp>ALRAJHI AB Equity</stp>
        <stp>VOLUME</stp>
        <tr r="J98" s="2"/>
      </tp>
      <tp t="s">
        <v>#N/A N/A</v>
        <stp/>
        <stp>BDH|9334414070520309094</stp>
        <tr r="V44" s="2"/>
      </tp>
      <tp t="s">
        <v>#N/A N/A</v>
        <stp/>
        <stp>BDH|1761686437447990992</stp>
        <tr r="V225" s="2"/>
      </tp>
      <tp t="s">
        <v>#N/A Requesting Data...752161094</v>
        <stp/>
        <stp>BDP|5953218025117606825</stp>
        <tr r="I69" s="2"/>
      </tp>
      <tp t="s">
        <v>#N/A Requesting Data...3958247149</v>
        <stp/>
        <stp>BDP|3693078788944569556</stp>
        <tr r="T274" s="2"/>
      </tp>
      <tp t="s">
        <v>#N/A Requesting Data...636352724</v>
        <stp/>
        <stp>BDP|6619849914680601596</stp>
        <tr r="U132" s="2"/>
      </tp>
      <tp t="s">
        <v>#N/A Requesting Data...1938766224</v>
        <stp/>
        <stp>BDP|6989016799632100795</stp>
        <tr r="H2" s="2"/>
      </tp>
      <tp t="s">
        <v>#N/A Requesting Data...874576146</v>
        <stp/>
        <stp>BDP|1355552943023421988</stp>
        <tr r="O90" s="2"/>
      </tp>
      <tp t="s">
        <v>#N/A Requesting Data...3169859164</v>
        <stp/>
        <stp>BDP|1578692475069117318</stp>
        <tr r="P44" s="2"/>
      </tp>
      <tp t="s">
        <v>#N/A Requesting Data...1478906363</v>
        <stp/>
        <stp>BDP|4622921118906311068</stp>
        <tr r="U264" s="2"/>
      </tp>
      <tp t="s">
        <v>#N/A Requesting Data...1431434236</v>
        <stp/>
        <stp>BDP|3774225731400545887</stp>
        <tr r="P146" s="2"/>
      </tp>
      <tp t="s">
        <v>#N/A Requesting Data...1398339602</v>
        <stp/>
        <stp>BDP|6144949599848016453</stp>
        <tr r="X226" s="2"/>
      </tp>
      <tp t="s">
        <v>#N/A Requesting Data...2162372845</v>
        <stp/>
        <stp>BDP|2397798284752398549</stp>
        <tr r="S268" s="2"/>
      </tp>
      <tp t="s">
        <v>#N/A N/A</v>
        <stp/>
        <stp>BDH|1415928578551737408</stp>
        <tr r="V119" s="2"/>
      </tp>
      <tp t="s">
        <v>#N/A N/A</v>
        <stp/>
        <stp>BDH|8698751373122637085</stp>
        <tr r="V177" s="2"/>
      </tp>
      <tp t="s">
        <v>#N/A Requesting Data...1804984387</v>
        <stp/>
        <stp>BDP|4943971071298349839</stp>
        <tr r="S60" s="2"/>
      </tp>
      <tp t="s">
        <v>#N/A Requesting Data...1483722858</v>
        <stp/>
        <stp>BDP|1920751346569441113</stp>
        <tr r="S76" s="2"/>
      </tp>
      <tp t="s">
        <v>#N/A Requesting Data...3495155042</v>
        <stp/>
        <stp>BDP|2639237466339568590</stp>
        <tr r="P250" s="2"/>
      </tp>
      <tp t="s">
        <v>#N/A Requesting Data...3324355738</v>
        <stp/>
        <stp>BDP|3888770691556748169</stp>
        <tr r="U4" s="2"/>
      </tp>
      <tp t="s">
        <v>#N/A Requesting Data...1172392354</v>
        <stp/>
        <stp>BDP|7827995900420832465</stp>
        <tr r="U75" s="2"/>
      </tp>
      <tp t="s">
        <v>#N/A Requesting Data...2243517821</v>
        <stp/>
        <stp>BDP|2421724816877986961</stp>
        <tr r="X151" s="2"/>
      </tp>
      <tp t="s">
        <v>#N/A Requesting Data...2000009364</v>
        <stp/>
        <stp>BDP|9783308692169061093</stp>
        <tr r="X268" s="2"/>
      </tp>
      <tp t="s">
        <v>#N/A Requesting Data...2098066216</v>
        <stp/>
        <stp>BDP|2556168901888999160</stp>
        <tr r="O239" s="2"/>
      </tp>
      <tp t="s">
        <v>#N/A Requesting Data...4170806817</v>
        <stp/>
        <stp>BDP|6107598387864077528</stp>
        <tr r="H203" s="2"/>
      </tp>
      <tp t="s">
        <v>#N/A Requesting Data...780391644</v>
        <stp/>
        <stp>BDP|6037397587132044532</stp>
        <tr r="S18" s="2"/>
      </tp>
      <tp t="s">
        <v>#N/A Requesting Data...732467272</v>
        <stp/>
        <stp>BDP|2670324852756952825</stp>
        <tr r="I22" s="2"/>
      </tp>
      <tp t="s">
        <v>#N/A Requesting Data...669568343</v>
        <stp/>
        <stp>BDP|5266976365447922741</stp>
        <tr r="X236" s="2"/>
      </tp>
      <tp t="s">
        <v>#N/A Requesting Data...1701536313</v>
        <stp/>
        <stp>BDP|2689668627079874521</stp>
        <tr r="O212" s="2"/>
      </tp>
      <tp t="s">
        <v>#N/A Requesting Data...4210754756</v>
        <stp/>
        <stp>BDP|4349063896724399324</stp>
        <tr r="U170" s="2"/>
      </tp>
      <tp t="s">
        <v>#N/A Requesting Data...2139333830</v>
        <stp/>
        <stp>BDP|8636718513841406523</stp>
        <tr r="H32" s="2"/>
      </tp>
      <tp t="s">
        <v>#N/A Requesting Data...2542067518</v>
        <stp/>
        <stp>BDP|8028571173188754811</stp>
        <tr r="X203" s="2"/>
      </tp>
      <tp t="s">
        <v>#N/A N/A</v>
        <stp/>
        <stp>BDH|7438448252529411547</stp>
        <tr r="V258" s="2"/>
      </tp>
      <tp t="s">
        <v>#N/A Requesting Data...1040034397</v>
        <stp/>
        <stp>BDP|6550836424631598746</stp>
        <tr r="U143" s="2"/>
      </tp>
      <tp t="s">
        <v>#N/A N/A</v>
        <stp/>
        <stp>BDH|5628594914449973217</stp>
        <tr r="V175" s="2"/>
      </tp>
      <tp t="s">
        <v>#N/A N/A</v>
        <stp/>
        <stp>BDH|9630002965273246622</stp>
        <tr r="V74" s="2"/>
      </tp>
      <tp t="s">
        <v>#N/A Requesting Data...1198357821</v>
        <stp/>
        <stp>BDP|3348544995935716051</stp>
        <tr r="H87" s="2"/>
      </tp>
      <tp t="s">
        <v>#N/A Requesting Data...4213861889</v>
        <stp/>
        <stp>BDP|3893860431414926666</stp>
        <tr r="P56" s="2"/>
      </tp>
      <tp t="s">
        <v>#N/A Requesting Data...1252184492</v>
        <stp/>
        <stp>BDP|3325012562889110613</stp>
        <tr r="H133" s="2"/>
      </tp>
      <tp t="s">
        <v>#N/A Requesting Data...1211965527</v>
        <stp/>
        <stp>BDP|8587911386721614242</stp>
        <tr r="S19" s="2"/>
      </tp>
      <tp t="s">
        <v>#N/A Requesting Data...3149413276</v>
        <stp/>
        <stp>BDP|3310286569434045929</stp>
        <tr r="T21" s="2"/>
      </tp>
      <tp t="s">
        <v>#N/A Requesting Data...390206311</v>
        <stp/>
        <stp>BDP|1510744664133455910</stp>
        <tr r="H112" s="2"/>
      </tp>
      <tp t="s">
        <v>#N/A Requesting Data...1188858949</v>
        <stp/>
        <stp>BDP|4300929386897055877</stp>
        <tr r="I108" s="2"/>
      </tp>
      <tp t="s">
        <v>#N/A Requesting Data...1286523974</v>
        <stp/>
        <stp>BDP|5188860872829052951</stp>
        <tr r="U181" s="2"/>
      </tp>
      <tp t="s">
        <v>#N/A Requesting Data...3554919747</v>
        <stp/>
        <stp>BDP|2846147951569440596</stp>
        <tr r="P238" s="2"/>
      </tp>
      <tp>
        <v>-0.61030000448226929</v>
        <stp/>
        <stp>BDP|991298329684345226|22</stp>
        <stp>ALDREES AB Equity</stp>
        <stp>RT_PX_CHG_PCT_1D</stp>
        <tr r="D46" s="2"/>
      </tp>
      <tp t="s">
        <v>#N/A Requesting Data...1391007271</v>
        <stp/>
        <stp>BDP|2381240838240727993</stp>
        <tr r="U70" s="2"/>
      </tp>
      <tp t="s">
        <v>#N/A Requesting Data...1884133162</v>
        <stp/>
        <stp>BDP|9811213058572534655</stp>
        <tr r="P138" s="2"/>
      </tp>
      <tp t="s">
        <v>#N/A Requesting Data...3230807388</v>
        <stp/>
        <stp>BDP|8324381738375544770</stp>
        <tr r="U187" s="2"/>
      </tp>
      <tp t="s">
        <v>#N/A Requesting Data...3307265080</v>
        <stp/>
        <stp>BDP|3189991918323399227</stp>
        <tr r="X159" s="2"/>
      </tp>
      <tp>
        <v>12.0223</v>
        <stp/>
        <stp>BDP|12322552758626783160|22</stp>
        <stp>PETROR AB Equity</stp>
        <stp>VWAP</stp>
        <tr r="N89" s="2"/>
      </tp>
      <tp t="s">
        <v>#N/A Requesting Data...1504280941</v>
        <stp/>
        <stp>BDP|7591795697133421094</stp>
        <tr r="X45" s="2"/>
      </tp>
      <tp t="s">
        <v>#N/A Requesting Data...1455153385</v>
        <stp/>
        <stp>BDP|3554187518218215110</stp>
        <tr r="X136" s="2"/>
      </tp>
      <tp t="s">
        <v>#N/A Requesting Data...3336056392</v>
        <stp/>
        <stp>BDP|1349574341369487379</stp>
        <tr r="S63" s="2"/>
      </tp>
      <tp t="s">
        <v>#N/A Requesting Data...1914969791</v>
        <stp/>
        <stp>BDP|6362969930632242418</stp>
        <tr r="P256" s="2"/>
      </tp>
      <tp t="s">
        <v>#N/A Requesting Data...3721428318</v>
        <stp/>
        <stp>BDP|9636006424655260461</stp>
        <tr r="T140" s="2"/>
      </tp>
      <tp t="s">
        <v>#N/A Requesting Data...614209800</v>
        <stp/>
        <stp>BDP|3923394482293639120</stp>
        <tr r="S44" s="2"/>
      </tp>
      <tp t="s">
        <v>#N/A N/A</v>
        <stp/>
        <stp>BDH|8588620878102990104</stp>
        <tr r="V243" s="2"/>
      </tp>
      <tp t="s">
        <v>#N/A Requesting Data...3913915763</v>
        <stp/>
        <stp>BDP|4275316203018394544</stp>
        <tr r="S182" s="2"/>
      </tp>
      <tp t="s">
        <v>#N/A Requesting Data...2822999843</v>
        <stp/>
        <stp>BDP|8806489577063191210</stp>
        <tr r="H93" s="2"/>
      </tp>
      <tp t="s">
        <v>#N/A Requesting Data...1784112142</v>
        <stp/>
        <stp>BDP|6544921261741555244</stp>
        <tr r="H43" s="2"/>
      </tp>
      <tp t="s">
        <v>#N/A N/A</v>
        <stp/>
        <stp>BDH|7425618982314888786</stp>
        <tr r="V67" s="2"/>
      </tp>
      <tp t="s">
        <v>#N/A Requesting Data...614167608</v>
        <stp/>
        <stp>BDP|9636105773911763461</stp>
        <tr r="T176" s="2"/>
      </tp>
      <tp t="s">
        <v>#N/A Requesting Data...3330555511</v>
        <stp/>
        <stp>BDP|8276234162891458735</stp>
        <tr r="U220" s="2"/>
      </tp>
      <tp t="s">
        <v>#N/A Requesting Data...529647987</v>
        <stp/>
        <stp>BDP|9502404171908331835</stp>
        <tr r="O141" s="2"/>
      </tp>
      <tp t="s">
        <v>#N/A Requesting Data...1019265278</v>
        <stp/>
        <stp>BDP|9372484019595050369</stp>
        <tr r="H31" s="2"/>
      </tp>
      <tp t="s">
        <v>#N/A Requesting Data...3461050245</v>
        <stp/>
        <stp>BDP|1545046708122895954</stp>
        <tr r="T292" s="2"/>
      </tp>
      <tp t="s">
        <v>#N/A Requesting Data...1051745858</v>
        <stp/>
        <stp>BDP|5765052607069969682</stp>
        <tr r="U78" s="2"/>
      </tp>
      <tp t="s">
        <v>#N/A Requesting Data...4257873581</v>
        <stp/>
        <stp>BDP|1595315795566457719</stp>
        <tr r="S265" s="2"/>
      </tp>
      <tp t="s">
        <v>#N/A Requesting Data...1411079708</v>
        <stp/>
        <stp>BDP|4622931438463022792</stp>
        <tr r="P204" s="2"/>
      </tp>
      <tp t="s">
        <v>#N/A Requesting Data...1452456956</v>
        <stp/>
        <stp>BDP|8290088588602163877</stp>
        <tr r="U184" s="2"/>
      </tp>
      <tp t="s">
        <v>#N/A Requesting Data...2568698383</v>
        <stp/>
        <stp>BDP|4199981344453952015</stp>
        <tr r="H7" s="2"/>
      </tp>
      <tp t="s">
        <v>#N/A Requesting Data...1644783480</v>
        <stp/>
        <stp>BDP|4159277848421943922</stp>
        <tr r="I282" s="2"/>
      </tp>
      <tp t="s">
        <v>#N/A Requesting Data...3115374143</v>
        <stp/>
        <stp>BDP|9379916776248729561</stp>
        <tr r="O216" s="2"/>
      </tp>
      <tp t="s">
        <v>#N/A Requesting Data...490660001</v>
        <stp/>
        <stp>BDP|5429595448569573752</stp>
        <tr r="H202" s="2"/>
      </tp>
      <tp t="s">
        <v>#N/A Requesting Data...2490475815</v>
        <stp/>
        <stp>BDP|6028513175046217837</stp>
        <tr r="S128" s="2"/>
      </tp>
      <tp t="s">
        <v>#N/A Requesting Data...2187131877</v>
        <stp/>
        <stp>BDP|9189340246012174679</stp>
        <tr r="H205" s="2"/>
      </tp>
      <tp>
        <v>45.0197</v>
        <stp/>
        <stp>BDP|14749434767199814258|22</stp>
        <stp>ALMARAI AB Equity</stp>
        <stp>VWAP</stp>
        <tr r="N144" s="2"/>
      </tp>
      <tp>
        <v>35.691200000000002</v>
        <stp/>
        <stp>BDP|1892775899162962094|22</stp>
        <stp>SSP AB Equity</stp>
        <stp>CHG_PCT_YTD_RT</stp>
        <tr r="F193" s="2"/>
      </tp>
      <tp>
        <v>140500</v>
        <stp/>
        <stp>BDP|8644483236763936589|22</stp>
        <stp>EASTPIPE AB Equity</stp>
        <stp>VOLUME</stp>
        <tr r="J217" s="2"/>
      </tp>
      <tp>
        <v>8.19</v>
        <stp/>
        <stp>BDP|17546899262414140952|22</stp>
        <stp>ALRAJHI AB Equity</stp>
        <stp>OPEN</stp>
        <tr r="K98" s="2"/>
      </tp>
      <tp>
        <v>392688</v>
        <stp/>
        <stp>BDP|6187741161501188773|22</stp>
        <stp>SAICO AB Equity</stp>
        <stp>VOLUME</stp>
        <tr r="J186" s="2"/>
      </tp>
      <tp>
        <v>-4.3320999999999996</v>
        <stp/>
        <stp>BDP|7023707409299670355|22</stp>
        <stp>SAICO AB Equity</stp>
        <stp>CHG_PCT_YTD_RT</stp>
        <tr r="F186" s="2"/>
      </tp>
      <tp>
        <v>62.6</v>
        <stp/>
        <stp>BDP|13476295726858461046|22</stp>
        <stp>MOUWASAT AB Equity</stp>
        <stp>LOW</stp>
        <tr r="L156" s="2"/>
      </tp>
      <tp>
        <v>27.02</v>
        <stp/>
        <stp>BDP|11386545972031574818|22</stp>
        <stp>ALHAMMAD AB Equity</stp>
        <stp>BID</stp>
        <tr r="Q159" s="2"/>
      </tp>
      <tp>
        <v>60.5</v>
        <stp/>
        <stp>BDP|15795326886455482150|22</stp>
        <stp>AVALONPH AB Equity</stp>
        <stp>BID</stp>
        <tr r="Q247" s="2"/>
      </tp>
      <tp t="s">
        <v>#N/A N/A</v>
        <stp/>
        <stp>BDH|59949309937009957</stp>
        <tr r="V247" s="2"/>
      </tp>
      <tp>
        <v>19.05</v>
        <stp/>
        <stp>BDP|15110454590837518349|22</stp>
        <stp>ACE AB Equity</stp>
        <stp>LAST_PRICE</stp>
        <tr r="B177" s="2"/>
        <tr r="C177" s="2"/>
      </tp>
      <tp>
        <v>10.17</v>
        <stp/>
        <stp>BDP|12579626390426949862|22</stp>
        <stp>SALAMA AB Equity</stp>
        <stp>HIGH</stp>
        <tr r="M172" s="2"/>
      </tp>
      <tp>
        <v>31.202300000000001</v>
        <stp/>
        <stp>BDP|12894405056928067371|22</stp>
        <stp>NASEEJ AB Equity</stp>
        <stp>VWAP</stp>
        <tr r="N55" s="2"/>
      </tp>
      <tp>
        <v>2.4793000221252441</v>
        <stp/>
        <stp>BDP|6914949619128099796|22</stp>
        <stp>AADC AB Equity</stp>
        <stp>RT_PX_CHG_PCT_1D</stp>
        <tr r="D128" s="2"/>
      </tp>
      <tp>
        <v>8.8741000000000003</v>
        <stp/>
        <stp>BDP|11370663687146579394|22</stp>
        <stp>ATTMCO AB Equity</stp>
        <stp>VWAP</stp>
        <tr r="N131" s="2"/>
      </tp>
      <tp>
        <v>14.43</v>
        <stp/>
        <stp>BDP|10544715019031259132|22</stp>
        <stp>EIC AB Equity</stp>
        <stp>LAST_PRICE</stp>
        <tr r="B16" s="2"/>
        <tr r="C16" s="2"/>
      </tp>
      <tp>
        <v>37</v>
        <stp/>
        <stp>BDP|10395625938731756438|22</stp>
        <stp>THIMAR AB Equity</stp>
        <stp>HIGH</stp>
        <tr r="M83" s="2"/>
      </tp>
      <tp>
        <v>5.86</v>
        <stp/>
        <stp>BDP|12837320840600323673|22</stp>
        <stp>NAJRAN AB Equity</stp>
        <stp>HIGH</stp>
        <tr r="M211" s="2"/>
      </tp>
      <tp t="s">
        <v>#N/A Requesting Data...1987957935</v>
        <stp/>
        <stp>BDP|8239220107309545888</stp>
        <tr r="T28" s="2"/>
      </tp>
      <tp t="s">
        <v>#N/A Requesting Data...2826581171</v>
        <stp/>
        <stp>BDP|5319793042198259502</stp>
        <tr r="P174" s="2"/>
      </tp>
      <tp t="s">
        <v>#N/A Requesting Data...1496257930</v>
        <stp/>
        <stp>BDP|8148401366288457988</stp>
        <tr r="P5" s="2"/>
      </tp>
      <tp t="s">
        <v>#N/A Requesting Data...3268993741</v>
        <stp/>
        <stp>BDP|4763798187130270004</stp>
        <tr r="U124" s="2"/>
      </tp>
      <tp t="s">
        <v>#N/A Requesting Data...4129023421</v>
        <stp/>
        <stp>BDP|6795875249848616947</stp>
        <tr r="I168" s="2"/>
      </tp>
      <tp>
        <v>24.45</v>
        <stp/>
        <stp>BDP|11357160935861434649|22</stp>
        <stp>REDSEA AB Equity</stp>
        <stp>HIGH</stp>
        <tr r="M252" s="2"/>
      </tp>
      <tp t="s">
        <v>#N/A Requesting Data...1683049297</v>
        <stp/>
        <stp>BDP|2466032332742526888</stp>
        <tr r="S74" s="2"/>
      </tp>
      <tp t="s">
        <v>#N/A Requesting Data...2171032725</v>
        <stp/>
        <stp>BDP|5996648794727059618</stp>
        <tr r="U265" s="2"/>
      </tp>
      <tp t="s">
        <v>#N/A Requesting Data...1922232545</v>
        <stp/>
        <stp>BDP|6688642078115235907</stp>
        <tr r="U113" s="2"/>
      </tp>
      <tp t="s">
        <v>#N/A Requesting Data...1531154230</v>
        <stp/>
        <stp>BDP|5030065888925771319</stp>
        <tr r="U7" s="2"/>
      </tp>
      <tp t="s">
        <v>#N/A Requesting Data...1197795008</v>
        <stp/>
        <stp>BDP|2162578735556394981</stp>
        <tr r="I220" s="2"/>
      </tp>
      <tp t="s">
        <v>#N/A Requesting Data...687674892</v>
        <stp/>
        <stp>BDP|6669128991856917345</stp>
        <tr r="H59" s="2"/>
      </tp>
      <tp t="s">
        <v>#N/A Requesting Data...1189604144</v>
        <stp/>
        <stp>BDP|3331520761378039387</stp>
        <tr r="H51" s="2"/>
      </tp>
      <tp t="s">
        <v>#N/A Requesting Data...2593293224</v>
        <stp/>
        <stp>BDP|5891780401299187084</stp>
        <tr r="P254" s="2"/>
      </tp>
      <tp t="s">
        <v>#N/A N/A</v>
        <stp/>
        <stp>BDH|6824853146876167727</stp>
        <tr r="V141" s="2"/>
      </tp>
      <tp t="s">
        <v>#N/A Requesting Data...1244905228</v>
        <stp/>
        <stp>BDP|1415796491921364561</stp>
        <tr r="S11" s="2"/>
      </tp>
      <tp t="s">
        <v>#N/A Requesting Data...3970660825</v>
        <stp/>
        <stp>BDP|5090494301348370223</stp>
        <tr r="S293" s="2"/>
      </tp>
      <tp t="s">
        <v>#N/A Requesting Data...2079859907</v>
        <stp/>
        <stp>BDP|5721944734103939773</stp>
        <tr r="P227" s="2"/>
      </tp>
      <tp t="s">
        <v>#N/A Requesting Data...1219736480</v>
        <stp/>
        <stp>BDP|5200432106693849919</stp>
        <tr r="S231" s="2"/>
      </tp>
      <tp t="s">
        <v>#N/A Requesting Data...2467864501</v>
        <stp/>
        <stp>BDP|9873326327432253114</stp>
        <tr r="S49" s="2"/>
      </tp>
      <tp t="s">
        <v>#N/A Requesting Data...855620594</v>
        <stp/>
        <stp>BDP|6507751752617891849</stp>
        <tr r="S197" s="2"/>
      </tp>
      <tp t="s">
        <v>#N/A Requesting Data...2421420926</v>
        <stp/>
        <stp>BDP|6576991901973606747</stp>
        <tr r="P98" s="2"/>
      </tp>
      <tp t="s">
        <v>#N/A Requesting Data...1967560729</v>
        <stp/>
        <stp>BDP|8594422842721302290</stp>
        <tr r="H77" s="2"/>
      </tp>
      <tp t="s">
        <v>#N/A Requesting Data...2333415017</v>
        <stp/>
        <stp>BDP|6837113644310681848</stp>
        <tr r="U283" s="2"/>
      </tp>
      <tp t="s">
        <v>#N/A Requesting Data...3477782847</v>
        <stp/>
        <stp>BDP|3880246658419980627</stp>
        <tr r="O135" s="2"/>
      </tp>
      <tp t="s">
        <v>#N/A Requesting Data...522880035</v>
        <stp/>
        <stp>BDP|3794778330508915461</stp>
        <tr r="U257" s="2"/>
      </tp>
      <tp t="s">
        <v>#N/A Requesting Data...2355065780</v>
        <stp/>
        <stp>BDP|3785928133557944506</stp>
        <tr r="U229" s="2"/>
      </tp>
      <tp t="s">
        <v>#N/A Requesting Data...2222783603</v>
        <stp/>
        <stp>BDP|5369756766839501691</stp>
        <tr r="X48" s="2"/>
      </tp>
      <tp t="s">
        <v>#N/A Requesting Data...3522300670</v>
        <stp/>
        <stp>BDP|3136745489933367438</stp>
        <tr r="S36" s="2"/>
      </tp>
      <tp t="s">
        <v>#N/A Requesting Data...1871471068</v>
        <stp/>
        <stp>BDP|2592984026175585720</stp>
        <tr r="X112" s="2"/>
      </tp>
      <tp t="s">
        <v>#N/A Requesting Data...2686944210</v>
        <stp/>
        <stp>BDP|9318972575594476888</stp>
        <tr r="X37" s="2"/>
      </tp>
      <tp t="s">
        <v>#N/A Requesting Data...2507059563</v>
        <stp/>
        <stp>BDP|4798991539495950039</stp>
        <tr r="H5" s="2"/>
      </tp>
      <tp t="s">
        <v>#N/A Requesting Data...2099223756</v>
        <stp/>
        <stp>BDP|3001808150162769756</stp>
        <tr r="I197" s="2"/>
      </tp>
      <tp t="s">
        <v>#N/A Requesting Data...2329918738</v>
        <stp/>
        <stp>BDP|9406354317844067441</stp>
        <tr r="S111" s="2"/>
      </tp>
      <tp t="s">
        <v>#N/A Requesting Data...3192797093</v>
        <stp/>
        <stp>BDP|3270070595425696440</stp>
        <tr r="T57" s="2"/>
      </tp>
      <tp t="s">
        <v>#N/A Requesting Data...2826952775</v>
        <stp/>
        <stp>BDP|8067121372672391715</stp>
        <tr r="X256" s="2"/>
      </tp>
      <tp t="s">
        <v>#N/A Requesting Data...2285759026</v>
        <stp/>
        <stp>BDP|3731175150538365419</stp>
        <tr r="H192" s="2"/>
      </tp>
      <tp t="s">
        <v>#N/A Requesting Data...3895022945</v>
        <stp/>
        <stp>BDP|5531861049787991512</stp>
        <tr r="H56" s="2"/>
      </tp>
      <tp t="s">
        <v>#N/A Requesting Data...3632298588</v>
        <stp/>
        <stp>BDP|8198059860503179673</stp>
        <tr r="X290" s="2"/>
      </tp>
      <tp t="s">
        <v>#N/A Requesting Data...709794154</v>
        <stp/>
        <stp>BDP|5755982477244811420</stp>
        <tr r="O281" s="2"/>
      </tp>
      <tp t="s">
        <v>#N/A N/A</v>
        <stp/>
        <stp>BDH|5027669682516676605</stp>
        <tr r="V153" s="2"/>
      </tp>
      <tp t="s">
        <v>#N/A Requesting Data...3991508319</v>
        <stp/>
        <stp>BDP|9380584303325291293</stp>
        <tr r="P154" s="2"/>
      </tp>
      <tp t="s">
        <v>#N/A Requesting Data...2579534542</v>
        <stp/>
        <stp>BDP|8382849993085728707</stp>
        <tr r="S226" s="2"/>
      </tp>
      <tp t="s">
        <v>#N/A Requesting Data...3692651031</v>
        <stp/>
        <stp>BDP|4535702723452682805</stp>
        <tr r="S28" s="2"/>
      </tp>
      <tp t="s">
        <v>#N/A Requesting Data...2158677658</v>
        <stp/>
        <stp>BDP|2243657530455701906</stp>
        <tr r="X259" s="2"/>
      </tp>
      <tp t="s">
        <v>#N/A Requesting Data...3879829778</v>
        <stp/>
        <stp>BDP|1654627986365203102</stp>
        <tr r="S173" s="2"/>
      </tp>
      <tp t="s">
        <v>#N/A Requesting Data...523463451</v>
        <stp/>
        <stp>BDP|6251911351011767057</stp>
        <tr r="T31" s="2"/>
      </tp>
      <tp t="s">
        <v>#N/A N/A</v>
        <stp/>
        <stp>BDH|7973320570051261995</stp>
        <tr r="V213" s="2"/>
      </tp>
      <tp t="s">
        <v>#N/A Requesting Data...938352515</v>
        <stp/>
        <stp>BDP|9729414775138496961</stp>
        <tr r="I113" s="2"/>
      </tp>
      <tp t="s">
        <v>#N/A Requesting Data...4090257296</v>
        <stp/>
        <stp>BDP|9462959974584670823</stp>
        <tr r="O76" s="2"/>
      </tp>
      <tp t="s">
        <v>#N/A N/A</v>
        <stp/>
        <stp>BDH|9687542169217381692</stp>
        <tr r="V291" s="2"/>
      </tp>
      <tp t="s">
        <v>#N/A N/A</v>
        <stp/>
        <stp>BDH|8913242258713178757</stp>
        <tr r="V248" s="2"/>
      </tp>
      <tp t="s">
        <v>#N/A N/A</v>
        <stp/>
        <stp>BDH|6669925546572114220</stp>
        <tr r="V27" s="2"/>
      </tp>
      <tp t="s">
        <v>#N/A Requesting Data...1394524338</v>
        <stp/>
        <stp>BDP|7339110616668488464</stp>
        <tr r="X153" s="2"/>
      </tp>
      <tp t="s">
        <v>#N/A Requesting Data...968235972</v>
        <stp/>
        <stp>BDP|9908633197115900829</stp>
        <tr r="H209" s="2"/>
      </tp>
      <tp t="s">
        <v>#N/A Requesting Data...2725247045</v>
        <stp/>
        <stp>BDP|9132974855117788921</stp>
        <tr r="X118" s="2"/>
      </tp>
      <tp t="s">
        <v>#N/A Requesting Data...3595517118</v>
        <stp/>
        <stp>BDP|3262132578639650796</stp>
        <tr r="P136" s="2"/>
      </tp>
      <tp t="s">
        <v>#N/A Requesting Data...3249789506</v>
        <stp/>
        <stp>BDP|7532975172283002167</stp>
        <tr r="S286" s="2"/>
      </tp>
      <tp t="s">
        <v>#N/A Requesting Data...1495300988</v>
        <stp/>
        <stp>BDP|3763648119039580692</stp>
        <tr r="T45" s="2"/>
      </tp>
      <tp t="s">
        <v>#N/A Requesting Data...2283104850</v>
        <stp/>
        <stp>BDP|2550103537323044847</stp>
        <tr r="U51" s="2"/>
      </tp>
      <tp t="s">
        <v>#N/A Requesting Data...4056785585</v>
        <stp/>
        <stp>BDP|1250709020428036753</stp>
        <tr r="P270" s="2"/>
      </tp>
      <tp t="s">
        <v>#N/A Requesting Data...2351336944</v>
        <stp/>
        <stp>BDP|5058809616331616675</stp>
        <tr r="P51" s="2"/>
      </tp>
      <tp t="s">
        <v>#N/A N/A</v>
        <stp/>
        <stp>BDH|8501752027867424148</stp>
        <tr r="V206" s="2"/>
      </tp>
      <tp t="s">
        <v>#N/A Requesting Data...3265308510</v>
        <stp/>
        <stp>BDP|9230052251026093123</stp>
        <tr r="X8" s="2"/>
      </tp>
      <tp t="s">
        <v>#N/A Requesting Data...4120915479</v>
        <stp/>
        <stp>BDP|6560569998899838879</stp>
        <tr r="S220" s="2"/>
      </tp>
      <tp t="s">
        <v>#N/A Requesting Data...1185588425</v>
        <stp/>
        <stp>BDP|9458308623633234015</stp>
        <tr r="O80" s="2"/>
      </tp>
      <tp t="s">
        <v>#N/A Requesting Data...2753330977</v>
        <stp/>
        <stp>BDP|9513371454786663240</stp>
        <tr r="U93" s="2"/>
      </tp>
      <tp t="s">
        <v>#N/A Requesting Data...4265161714</v>
        <stp/>
        <stp>BDP|2643702284630072663</stp>
        <tr r="O283" s="2"/>
      </tp>
      <tp t="s">
        <v>#N/A Requesting Data...4000289120</v>
        <stp/>
        <stp>BDP|8981356071534931313</stp>
        <tr r="X199" s="2"/>
      </tp>
      <tp t="s">
        <v>#N/A Requesting Data...2980605890</v>
        <stp/>
        <stp>BDP|5427459687997425573</stp>
        <tr r="T194" s="2"/>
      </tp>
      <tp t="s">
        <v>#N/A Requesting Data...1514717049</v>
        <stp/>
        <stp>BDP|8507094606151654295</stp>
        <tr r="U60" s="2"/>
      </tp>
      <tp>
        <v>5.14</v>
        <stp/>
        <stp>BDP|17407032732411861111|22</stp>
        <stp>TAKWEEN AB Equity</stp>
        <stp>HIGH</stp>
        <tr r="M218" s="2"/>
      </tp>
      <tp>
        <v>258895</v>
        <stp/>
        <stp>BDP|3629346844448505859|22</stp>
        <stp>SULAIMAN AB Equity</stp>
        <stp>VOLUME</stp>
        <tr r="J153" s="2"/>
      </tp>
      <tp>
        <v>6.97</v>
        <stp/>
        <stp>BDP|2229411240026604039|22</stp>
        <stp>ACIG AB Equity</stp>
        <stp>LAST_PRICE</stp>
        <tr r="B170" s="2"/>
        <tr r="C170" s="2"/>
      </tp>
      <tp>
        <v>-23.2044</v>
        <stp/>
        <stp>BDP|9773787240532208492|22</stp>
        <stp>ALANDALU AB Equity</stp>
        <stp>CHG_PCT_YTD_RT</stp>
        <tr r="F258" s="2"/>
      </tp>
      <tp>
        <v>22.22</v>
        <stp/>
        <stp>BDP|11866708955906367508|22</stp>
        <stp>DERAYAH AB Equity</stp>
        <stp>ASK</stp>
        <tr r="R116" s="2"/>
      </tp>
      <tp>
        <v>1892470</v>
        <stp/>
        <stp>BDP|2391859749475700190|22</stp>
        <stp>MASAR AB Equity</stp>
        <stp>VOLUME</stp>
        <tr r="J253" s="2"/>
      </tp>
      <tp>
        <v>397873</v>
        <stp/>
        <stp>BDP|4118484786389670957|22</stp>
        <stp>SAFCO AB Equity</stp>
        <stp>VOLUME</stp>
        <tr r="J238" s="2"/>
      </tp>
      <tp>
        <v>8.1300000000000008</v>
        <stp/>
        <stp>BDP|15051853823261821071|22</stp>
        <stp>CHEMICAL AB Equity</stp>
        <stp>BID</stp>
        <tr r="Q154" s="2"/>
      </tp>
      <tp>
        <v>13.1014</v>
        <stp/>
        <stp>BDP|1261882600530728674|22</stp>
        <stp>SMARKETI AB Equity</stp>
        <stp>VWAP</stp>
        <tr r="N85" s="2"/>
      </tp>
      <tp>
        <v>71.900000000000006</v>
        <stp/>
        <stp>BDP|13606495823581550765|22</stp>
        <stp>AMAK AB Equity</stp>
        <stp>YEST_LAST_TRADE</stp>
        <tr r="G196" s="2"/>
      </tp>
      <tp>
        <v>10.77</v>
        <stp/>
        <stp>BDP|15421162435764680717|22</stp>
        <stp>ALJAZIRA AB Equity</stp>
        <stp>LOW</stp>
        <tr r="L102" s="2"/>
      </tp>
      <tp>
        <v>30.7</v>
        <stp/>
        <stp>BDP|14440720493817932467|22</stp>
        <stp>MESC AB Equity</stp>
        <stp>YEST_LAST_TRADE</stp>
        <tr r="G21" s="2"/>
      </tp>
      <tp>
        <v>55.4</v>
        <stp/>
        <stp>BDP|9727768053878231983|22</stp>
        <stp>FIRSTMIL AB Equity</stp>
        <stp>OPEN</stp>
        <tr r="K135" s="2"/>
      </tp>
      <tp>
        <v>17.43</v>
        <stp/>
        <stp>BDP|11809656680453888472|22</stp>
        <stp>MEPC AB Equity</stp>
        <stp>YEST_LAST_TRADE</stp>
        <tr r="G197" s="2"/>
      </tp>
      <tp>
        <v>23.5</v>
        <stp/>
        <stp>BDP|10135142753340126888|22</stp>
        <stp>ALMASARA AB Equity</stp>
        <stp>LOW</stp>
        <tr r="L78" s="2"/>
      </tp>
      <tp>
        <v>56.15</v>
        <stp/>
        <stp>BDP|18048837573487803188|22</stp>
        <stp>ALRAMZ AB Equity</stp>
        <stp>OPEN</stp>
        <tr r="K265" s="2"/>
      </tp>
      <tp>
        <v>-0.98799997568130493</v>
        <stp/>
        <stp>BDP|6935188042354669135|22</stp>
        <stp>NGIC AB Equity</stp>
        <stp>RT_PX_CHG_PCT_1D</stp>
        <tr r="D293" s="2"/>
      </tp>
      <tp t="s">
        <v>#N/A Requesting Data...1091581714</v>
        <stp/>
        <stp>BDP|3829071341397758437</stp>
        <tr r="U110" s="2"/>
      </tp>
      <tp t="s">
        <v>#N/A Requesting Data...3843878263</v>
        <stp/>
        <stp>BDP|5537959688859406967</stp>
        <tr r="T195" s="2"/>
      </tp>
      <tp t="s">
        <v>#N/A Requesting Data...732611073</v>
        <stp/>
        <stp>BDP|3357297804741520411</stp>
        <tr r="P182" s="2"/>
      </tp>
      <tp t="s">
        <v>#N/A Requesting Data...896277783</v>
        <stp/>
        <stp>BDP|6382080456086106170</stp>
        <tr r="I171" s="2"/>
      </tp>
      <tp t="s">
        <v>#N/A Requesting Data...2378583767</v>
        <stp/>
        <stp>BDP|3182610485408672187</stp>
        <tr r="U42" s="2"/>
      </tp>
      <tp t="s">
        <v>#N/A Requesting Data...3731446704</v>
        <stp/>
        <stp>BDP|8225305783696328190</stp>
        <tr r="U71" s="2"/>
      </tp>
      <tp t="s">
        <v>#N/A Requesting Data...3951062100</v>
        <stp/>
        <stp>BDP|5390033762510997701</stp>
        <tr r="X130" s="2"/>
      </tp>
      <tp t="s">
        <v>#N/A Requesting Data...3016824568</v>
        <stp/>
        <stp>BDP|3879846847418764375</stp>
        <tr r="S274" s="2"/>
      </tp>
      <tp t="s">
        <v>#N/A Requesting Data...3470201854</v>
        <stp/>
        <stp>BDP|4927822560089936795</stp>
        <tr r="S238" s="2"/>
      </tp>
      <tp t="s">
        <v>#N/A N/A</v>
        <stp/>
        <stp>BDH|2180625489488542044</stp>
        <tr r="V98" s="2"/>
      </tp>
      <tp t="s">
        <v>#N/A Requesting Data...2959604008</v>
        <stp/>
        <stp>BDP|9443445885992424390</stp>
        <tr r="U288" s="2"/>
      </tp>
      <tp t="s">
        <v>#N/A Requesting Data...2016209697</v>
        <stp/>
        <stp>BDP|2363888203196690867</stp>
        <tr r="U285" s="2"/>
      </tp>
      <tp t="s">
        <v>#N/A Requesting Data...3406041271</v>
        <stp/>
        <stp>BDP|5508177156514816140</stp>
        <tr r="I28" s="2"/>
      </tp>
      <tp t="s">
        <v>#N/A Requesting Data...1476498560</v>
        <stp/>
        <stp>BDP|9458282403129225656</stp>
        <tr r="T270" s="2"/>
      </tp>
      <tp t="s">
        <v>#N/A Requesting Data...1454141530</v>
        <stp/>
        <stp>BDP|8892877206837308323</stp>
        <tr r="T254" s="2"/>
      </tp>
      <tp t="s">
        <v>#N/A N/A</v>
        <stp/>
        <stp>BDH|5418745999697342822</stp>
        <tr r="V62" s="2"/>
      </tp>
      <tp t="s">
        <v>#N/A N/A</v>
        <stp/>
        <stp>BDH|8659611288934265652</stp>
        <tr r="V285" s="2"/>
      </tp>
      <tp t="s">
        <v>#N/A Requesting Data...3313208148</v>
        <stp/>
        <stp>BDP|6854726922386487155</stp>
        <tr r="S105" s="2"/>
      </tp>
      <tp t="s">
        <v>#N/A Requesting Data...2583332924</v>
        <stp/>
        <stp>BDP|5674175175376421197</stp>
        <tr r="H105" s="2"/>
      </tp>
      <tp t="s">
        <v>#N/A Requesting Data...2363387892</v>
        <stp/>
        <stp>BDP|9840906605845086144</stp>
        <tr r="U276" s="2"/>
      </tp>
      <tp t="s">
        <v>#N/A Requesting Data...3328591876</v>
        <stp/>
        <stp>BDP|3875403852966324072</stp>
        <tr r="O36" s="2"/>
      </tp>
      <tp t="s">
        <v>#N/A Requesting Data...1035620529</v>
        <stp/>
        <stp>BDP|1191383852611151248</stp>
        <tr r="T242" s="2"/>
      </tp>
      <tp t="s">
        <v>#N/A Requesting Data...877190016</v>
        <stp/>
        <stp>BDP|1884163721857164100</stp>
        <tr r="P261" s="2"/>
      </tp>
      <tp t="s">
        <v>#N/A N/A</v>
        <stp/>
        <stp>BDH|8262833619467320255</stp>
        <tr r="V288" s="2"/>
      </tp>
      <tp t="s">
        <v>#N/A N/A</v>
        <stp/>
        <stp>BDH|5006338738101562006</stp>
        <tr r="V73" s="2"/>
      </tp>
      <tp t="s">
        <v>#N/A Requesting Data...2132909611</v>
        <stp/>
        <stp>BDP|7333048399973107908</stp>
        <tr r="P280" s="2"/>
      </tp>
      <tp t="s">
        <v>#N/A Requesting Data...3766227159</v>
        <stp/>
        <stp>BDP|3928400565821126429</stp>
        <tr r="H188" s="2"/>
      </tp>
      <tp t="s">
        <v>#N/A Requesting Data...1456875160</v>
        <stp/>
        <stp>BDP|5098686614235009338</stp>
        <tr r="P148" s="2"/>
      </tp>
      <tp t="s">
        <v>#N/A Requesting Data...1825566212</v>
        <stp/>
        <stp>BDP|5377142245677921344</stp>
        <tr r="X36" s="2"/>
      </tp>
      <tp t="s">
        <v>#N/A Requesting Data...3775902462</v>
        <stp/>
        <stp>BDP|6690934051947360984</stp>
        <tr r="O259" s="2"/>
      </tp>
      <tp t="s">
        <v>#N/A N/A</v>
        <stp/>
        <stp>BDH|4585762164583139294</stp>
        <tr r="V17" s="2"/>
      </tp>
      <tp>
        <v>173158</v>
        <stp/>
        <stp>BDP|18037529214695255842|22</stp>
        <stp>LAZURDE AB Equity</stp>
        <stp>VOLUME</stp>
        <tr r="J57" s="2"/>
      </tp>
      <tp t="s">
        <v>#N/A Requesting Data...2524447403</v>
        <stp/>
        <stp>BDP|6689733024302912542</stp>
        <tr r="O222" s="2"/>
      </tp>
      <tp t="s">
        <v>#N/A Requesting Data...3371838915</v>
        <stp/>
        <stp>BDP|9150585180351081157</stp>
        <tr r="I252" s="2"/>
      </tp>
      <tp t="s">
        <v>#N/A Requesting Data...2295226823</v>
        <stp/>
        <stp>BDP|6419325799950147827</stp>
        <tr r="T226" s="2"/>
      </tp>
      <tp t="s">
        <v>#N/A Requesting Data...845856231</v>
        <stp/>
        <stp>BDP|1968223516311861793</stp>
        <tr r="T161" s="2"/>
      </tp>
      <tp t="s">
        <v>#N/A Requesting Data...4223462044</v>
        <stp/>
        <stp>BDP|4865697857653973035</stp>
        <tr r="U99" s="2"/>
      </tp>
      <tp t="s">
        <v>#N/A Requesting Data...2099236191</v>
        <stp/>
        <stp>BDP|5531218128738898980</stp>
        <tr r="H268" s="2"/>
      </tp>
      <tp t="s">
        <v>#N/A Requesting Data...1032172440</v>
        <stp/>
        <stp>BDP|6749690593125375827</stp>
        <tr r="X6" s="2"/>
      </tp>
      <tp t="s">
        <v>#N/A Requesting Data...3046608008</v>
        <stp/>
        <stp>BDP|7832253210921119111</stp>
        <tr r="O72" s="2"/>
      </tp>
      <tp t="s">
        <v>#N/A Requesting Data...2671133584</v>
        <stp/>
        <stp>BDP|5658496367812210170</stp>
        <tr r="I190" s="2"/>
      </tp>
      <tp t="s">
        <v>#N/A Requesting Data...1834783195</v>
        <stp/>
        <stp>BDP|1497534854394730163</stp>
        <tr r="H247" s="2"/>
      </tp>
      <tp t="s">
        <v>#N/A Requesting Data...3848648575</v>
        <stp/>
        <stp>BDP|6668401016823319410</stp>
        <tr r="T62" s="2"/>
      </tp>
      <tp t="s">
        <v>#N/A Requesting Data...916055374</v>
        <stp/>
        <stp>BDP|4786044174061294674</stp>
        <tr r="P113" s="2"/>
      </tp>
      <tp t="s">
        <v>#N/A Requesting Data...1417642658</v>
        <stp/>
        <stp>BDP|6779719991818361461</stp>
        <tr r="T196" s="2"/>
      </tp>
      <tp t="s">
        <v>#N/A Requesting Data...2824295714</v>
        <stp/>
        <stp>BDP|3866825009509641671</stp>
        <tr r="I183" s="2"/>
      </tp>
      <tp t="s">
        <v>#N/A Requesting Data...2797941462</v>
        <stp/>
        <stp>BDP|8306801873016324510</stp>
        <tr r="X182" s="2"/>
      </tp>
      <tp t="s">
        <v>#N/A Requesting Data...1519367845</v>
        <stp/>
        <stp>BDP|5138150136243257020</stp>
        <tr r="X222" s="2"/>
      </tp>
      <tp t="s">
        <v>#N/A Requesting Data...2282568664</v>
        <stp/>
        <stp>BDP|6793701714217040306</stp>
        <tr r="I71" s="2"/>
      </tp>
      <tp t="s">
        <v>#N/A Requesting Data...3544725080</v>
        <stp/>
        <stp>BDP|3692770357325437017</stp>
        <tr r="U39" s="2"/>
      </tp>
      <tp t="s">
        <v>#N/A Requesting Data...996243814</v>
        <stp/>
        <stp>BDP|2727433907122001005</stp>
        <tr r="S138" s="2"/>
      </tp>
      <tp t="s">
        <v>#N/A Requesting Data...3408024318</v>
        <stp/>
        <stp>BDP|6294668357128132928</stp>
        <tr r="H70" s="2"/>
      </tp>
      <tp t="s">
        <v>#N/A Requesting Data...3170533767</v>
        <stp/>
        <stp>BDP|6882044049341056754</stp>
        <tr r="S155" s="2"/>
      </tp>
      <tp t="s">
        <v>#N/A Requesting Data...3363747354</v>
        <stp/>
        <stp>BDP|7913480312183664553</stp>
        <tr r="T142" s="2"/>
      </tp>
      <tp t="s">
        <v>#N/A Requesting Data...2442321381</v>
        <stp/>
        <stp>BDP|3013033950706747447</stp>
        <tr r="T89" s="2"/>
      </tp>
      <tp t="s">
        <v>#N/A N/A</v>
        <stp/>
        <stp>BDH|3327771067236307003</stp>
        <tr r="V83" s="2"/>
      </tp>
      <tp t="s">
        <v>#N/A Requesting Data...2016219675</v>
        <stp/>
        <stp>BDP|3821200660066065591</stp>
        <tr r="I225" s="2"/>
      </tp>
      <tp t="s">
        <v>#N/A Requesting Data...2157066529</v>
        <stp/>
        <stp>BDP|2142523973172511643</stp>
        <tr r="P159" s="2"/>
      </tp>
      <tp t="s">
        <v>#N/A Requesting Data...2384356552</v>
        <stp/>
        <stp>BDP|5077476007256952380</stp>
        <tr r="T122" s="2"/>
      </tp>
      <tp t="s">
        <v>#N/A Requesting Data...1121864277</v>
        <stp/>
        <stp>BDP|5935267091888834201</stp>
        <tr r="I218" s="2"/>
      </tp>
      <tp t="s">
        <v>#N/A Requesting Data...1454511601</v>
        <stp/>
        <stp>BDP|2032150093689579757</stp>
        <tr r="T86" s="2"/>
      </tp>
      <tp t="s">
        <v>#N/A Requesting Data...3824549876</v>
        <stp/>
        <stp>BDP|4652962305181025833</stp>
        <tr r="S90" s="2"/>
      </tp>
      <tp t="s">
        <v>#N/A Requesting Data...1738462143</v>
        <stp/>
        <stp>BDP|5917777147610735285</stp>
        <tr r="T155" s="2"/>
      </tp>
      <tp t="s">
        <v>#N/A Requesting Data...3295217711</v>
        <stp/>
        <stp>BDP|4987239673262858770</stp>
        <tr r="U27" s="2"/>
      </tp>
      <tp t="s">
        <v>#N/A N/A</v>
        <stp/>
        <stp>BDH|2182581583539575290</stp>
        <tr r="V89" s="2"/>
      </tp>
      <tp t="s">
        <v>#N/A Requesting Data...1777662100</v>
        <stp/>
        <stp>BDP|4591564791749304561</stp>
        <tr r="X17" s="2"/>
      </tp>
      <tp t="s">
        <v>#N/A Requesting Data...3310328518</v>
        <stp/>
        <stp>BDP|5739921872948521754</stp>
        <tr r="T13" s="2"/>
      </tp>
      <tp t="s">
        <v>#N/A Requesting Data...680398592</v>
        <stp/>
        <stp>BDP|7920699917327015305</stp>
        <tr r="X213" s="2"/>
      </tp>
      <tp t="s">
        <v>#N/A Requesting Data...1735992116</v>
        <stp/>
        <stp>BDP|8697953084515386835</stp>
        <tr r="T157" s="2"/>
      </tp>
      <tp t="s">
        <v>#N/A Requesting Data...3007437512</v>
        <stp/>
        <stp>BDP|7130476915545552311</stp>
        <tr r="X113" s="2"/>
      </tp>
      <tp t="s">
        <v>#N/A Requesting Data...4101910830</v>
        <stp/>
        <stp>BDP|6907335233472857062</stp>
        <tr r="U271" s="2"/>
      </tp>
      <tp>
        <v>29.72</v>
        <stp/>
        <stp>BDP|13868897322745798814|22</stp>
        <stp>YANSAB AB Equity</stp>
        <stp>HIGH</stp>
        <tr r="M205" s="2"/>
      </tp>
      <tp t="s">
        <v>#N/A Requesting Data...3162560691</v>
        <stp/>
        <stp>BDP|9567539867627301960</stp>
        <tr r="T165" s="2"/>
      </tp>
      <tp t="s">
        <v>#N/A Requesting Data...2262744134</v>
        <stp/>
        <stp>BDP|7691402217511521706</stp>
        <tr r="P25" s="2"/>
      </tp>
      <tp t="s">
        <v>#N/A Requesting Data...4002325219</v>
        <stp/>
        <stp>BDP|9480107155060547907</stp>
        <tr r="O127" s="2"/>
      </tp>
      <tp t="s">
        <v>#N/A Requesting Data...2409659998</v>
        <stp/>
        <stp>BDP|3422691456322911661</stp>
        <tr r="X82" s="2"/>
      </tp>
      <tp t="s">
        <v>#N/A Requesting Data...2494682820</v>
        <stp/>
        <stp>BDP|2770543215737617540</stp>
        <tr r="O199" s="2"/>
      </tp>
      <tp t="s">
        <v>#N/A Requesting Data...3728175745</v>
        <stp/>
        <stp>BDP|4214152607919782830</stp>
        <tr r="O279" s="2"/>
      </tp>
      <tp t="s">
        <v>#N/A Requesting Data...1835168886</v>
        <stp/>
        <stp>BDP|7503504846593649110</stp>
        <tr r="P161" s="2"/>
      </tp>
      <tp t="s">
        <v>#N/A Requesting Data...1869417124</v>
        <stp/>
        <stp>BDP|3534559829178473898</stp>
        <tr r="H204" s="2"/>
      </tp>
      <tp>
        <v>13.3035</v>
        <stp/>
        <stp>BDP|16248881491806386334|22</stp>
        <stp>GULFUNI AB Equity</stp>
        <stp>VWAP</stp>
        <tr r="N190" s="2"/>
      </tp>
      <tp>
        <v>11.79</v>
        <stp/>
        <stp>BDP|7192122388317817141|22</stp>
        <stp>SAGR AB Equity</stp>
        <stp>LAST_PRICE</stp>
        <tr r="B184" s="2"/>
        <tr r="C184" s="2"/>
      </tp>
      <tp>
        <v>27.613099999999999</v>
        <stp/>
        <stp>BDP|4089862125392508444|22</stp>
        <stp>CHEMICAL AB Equity</stp>
        <stp>CHG_PCT_YTD_RT</stp>
        <tr r="F154" s="2"/>
      </tp>
      <tp>
        <v>-0.24099999999999999</v>
        <stp/>
        <stp>BDP|9904314539446470421|22</stp>
        <stp>ALINMAHO AB Equity</stp>
        <stp>CHG_PCT_YTD_RT</stp>
        <tr r="F97" s="2"/>
      </tp>
      <tp>
        <v>13.62</v>
        <stp/>
        <stp>BDP|15266349412887767584|22</stp>
        <stp>NICEONE AB Equity</stp>
        <stp>OPEN</stp>
        <tr r="K42" s="2"/>
      </tp>
      <tp>
        <v>5.7</v>
        <stp/>
        <stp>BDP|15831067258638350954|22</stp>
        <stp>BAAZEEM AB Equity</stp>
        <stp>HIGH</stp>
        <tr r="M48" s="2"/>
      </tp>
      <tp>
        <v>10.57</v>
        <stp/>
        <stp>BDP|6042630742546604669|22</stp>
        <stp>ZAINKSA AB Equity</stp>
        <stp>LAST_PRICE</stp>
        <tr r="C276" s="2"/>
        <tr r="B276" s="2"/>
      </tp>
      <tp>
        <v>24.404800000000002</v>
        <stp/>
        <stp>BDP|5263846263920348345|22</stp>
        <stp>AMERICAN AB Equity</stp>
        <stp>CHG_PCT_YTD_RT</stp>
        <tr r="F68" s="2"/>
      </tp>
      <tp>
        <v>213454</v>
        <stp/>
        <stp>BDP|6337506781740131470|22</stp>
        <stp>SALEHALR AB Equity</stp>
        <stp>VOLUME</stp>
        <tr r="J239" s="2"/>
      </tp>
      <tp>
        <v>435739</v>
        <stp/>
        <stp>BDP|4025948172296103611|22</stp>
        <stp>SRECO AB Equity</stp>
        <stp>VOLUME</stp>
        <tr r="J254" s="2"/>
      </tp>
      <tp>
        <v>5.8167</v>
        <stp/>
        <stp>BDP|5542291838263217621|22</stp>
        <stp>SAL AB Equity</stp>
        <stp>CHG_PCT_1M_RT</stp>
        <tr r="E282" s="2"/>
      </tp>
      <tp>
        <v>215230</v>
        <stp/>
        <stp>BDP|5201298631679536574|22</stp>
        <stp>YACCO AB Equity</stp>
        <stp>VOLUME</stp>
        <tr r="J222" s="2"/>
      </tp>
      <tp>
        <v>25.78</v>
        <stp/>
        <stp>BDP|15854359962482446230|22</stp>
        <stp>SAUDIRE AB Equity</stp>
        <stp>BID</stp>
        <tr r="Q167" s="2"/>
      </tp>
      <tp>
        <v>13.85</v>
        <stp/>
        <stp>BDP|15961515083133645551|22</stp>
        <stp>UACC AB Equity</stp>
        <stp>YEST_LAST_TRADE</stp>
        <tr r="G206" s="2"/>
      </tp>
      <tp>
        <v>120</v>
        <stp/>
        <stp>BDP|15048143283252668939|22</stp>
        <stp>RIYADHCA AB Equity</stp>
        <stp>ASK</stp>
        <tr r="R23" s="2"/>
      </tp>
      <tp>
        <v>12.35</v>
        <stp/>
        <stp>BDP|514766618569718104|22</stp>
        <stp>KEC AB Equity</stp>
        <stp>HIGH</stp>
        <tr r="M263" s="2"/>
      </tp>
      <tp>
        <v>60.8</v>
        <stp/>
        <stp>BDP|17551673296797685137|22</stp>
        <stp>AVALONPH AB Equity</stp>
        <stp>ASK</stp>
        <tr r="R247" s="2"/>
      </tp>
      <tp>
        <v>929050</v>
        <stp/>
        <stp>BDP|18167369962894673998|22</stp>
        <stp>MALATH AB Equity</stp>
        <stp>VOLUME</stp>
        <tr r="J182" s="2"/>
      </tp>
      <tp>
        <v>43.226199999999999</v>
        <stp/>
        <stp>BDP|5691425566214845620|22</stp>
        <stp>SALEHALR AB Equity</stp>
        <stp>VWAP</stp>
        <tr r="N239" s="2"/>
      </tp>
      <tp>
        <v>5.9055</v>
        <stp/>
        <stp>BDP|11677170910112761230|22</stp>
        <stp>TALEEM AB Equity</stp>
        <stp>CHG_PCT_YTD_RT</stp>
        <tr r="F112" s="2"/>
      </tp>
      <tp>
        <v>30.561900000000001</v>
        <stp/>
        <stp>BDP|18139974725392767613|22</stp>
        <stp>SAVOLA AB Equity</stp>
        <stp>CHG_PCT_YTD_RT</stp>
        <tr r="F143" s="2"/>
      </tp>
      <tp>
        <v>17.100000000000001</v>
        <stp/>
        <stp>BDP|1827229375273468578|22</stp>
        <stp>CENOMICE AB Equity</stp>
        <stp>HIGH</stp>
        <tr r="M259" s="2"/>
      </tp>
      <tp>
        <v>59.4</v>
        <stp/>
        <stp>BDP|10660935282840527298|22</stp>
        <stp>MAADEN AB Equity</stp>
        <stp>HIGH</stp>
        <tr r="M210" s="2"/>
      </tp>
      <tp>
        <v>48.593400000000003</v>
        <stp/>
        <stp>BDP|10649989901200615899|22</stp>
        <stp>KINGDOM AB Equity</stp>
        <stp>CHG_PCT_YTD_RT</stp>
        <tr r="F125" s="2"/>
      </tp>
      <tp>
        <v>41.054499999999997</v>
        <stp/>
        <stp>BDP|17057608973848905083|22</stp>
        <stp>MEDGULF AB Equity</stp>
        <stp>CHG_PCT_YTD_RT</stp>
        <tr r="F171" s="2"/>
      </tp>
      <tp>
        <v>31.86</v>
        <stp/>
        <stp>BDP|18175137476769635333|22</stp>
        <stp>MEH AB Equity</stp>
        <stp>LAST_PRICE</stp>
        <tr r="B152" s="2"/>
        <tr r="C152" s="2"/>
      </tp>
      <tp>
        <v>13.95</v>
        <stp/>
        <stp>BDP|12347196366270602212|22</stp>
        <stp>SHAKER AB Equity</stp>
        <stp>HIGH</stp>
        <tr r="M18" s="2"/>
      </tp>
      <tp t="s">
        <v>#N/A Requesting Data...1253069244</v>
        <stp/>
        <stp>BDP|8805071121206100953</stp>
        <tr r="P107" s="2"/>
      </tp>
      <tp t="s">
        <v>#N/A Requesting Data...1431782007</v>
        <stp/>
        <stp>BDP|8105863201954994157</stp>
        <tr r="X10" s="2"/>
      </tp>
      <tp t="s">
        <v>#N/A Requesting Data...3447228045</v>
        <stp/>
        <stp>BDP|7097032286203772995</stp>
        <tr r="T234" s="2"/>
      </tp>
      <tp t="s">
        <v>#N/A Requesting Data...901444900</v>
        <stp/>
        <stp>BDP|1882165179253929157</stp>
        <tr r="I122" s="2"/>
      </tp>
      <tp t="s">
        <v>#N/A Requesting Data...1982619937</v>
        <stp/>
        <stp>BDP|3128260465907159582</stp>
        <tr r="X23" s="2"/>
      </tp>
      <tp t="s">
        <v>#N/A Requesting Data...4087152005</v>
        <stp/>
        <stp>BDP|1259745739137155751</stp>
        <tr r="O175" s="2"/>
      </tp>
      <tp t="s">
        <v>#N/A Requesting Data...735939779</v>
        <stp/>
        <stp>BDP|7248208531511983215</stp>
        <tr r="H276" s="2"/>
      </tp>
      <tp t="s">
        <v>#N/A N/A</v>
        <stp/>
        <stp>BDH|5974362127999526864</stp>
        <tr r="V217" s="2"/>
      </tp>
      <tp t="s">
        <v>#N/A Requesting Data...812903665</v>
        <stp/>
        <stp>BDP|3258330857565899564</stp>
        <tr r="P100" s="2"/>
      </tp>
      <tp t="s">
        <v>#N/A Requesting Data...830024264</v>
        <stp/>
        <stp>BDP|8514591087238637852</stp>
        <tr r="H252" s="2"/>
      </tp>
      <tp t="s">
        <v>#N/A Requesting Data...1576369204</v>
        <stp/>
        <stp>BDP|5411704168712663326</stp>
        <tr r="T64" s="2"/>
      </tp>
      <tp t="s">
        <v>#N/A N/A</v>
        <stp/>
        <stp>BDH|1180779003282977143</stp>
        <tr r="V21" s="2"/>
      </tp>
      <tp t="s">
        <v>#N/A Requesting Data...2911841648</v>
        <stp/>
        <stp>BDP|8189594397525779414</stp>
        <tr r="I248" s="2"/>
      </tp>
      <tp t="s">
        <v>#N/A Requesting Data...2967698304</v>
        <stp/>
        <stp>BDP|2416383765691014308</stp>
        <tr r="H154" s="2"/>
      </tp>
      <tp t="s">
        <v>#N/A Requesting Data...2709081260</v>
        <stp/>
        <stp>BDP|1991262479121862070</stp>
        <tr r="I90" s="2"/>
      </tp>
      <tp t="s">
        <v>#N/A Requesting Data...2488833973</v>
        <stp/>
        <stp>BDP|6311809984615813663</stp>
        <tr r="H145" s="2"/>
      </tp>
      <tp t="s">
        <v>#N/A Requesting Data...3641339855</v>
        <stp/>
        <stp>BDP|4819131676593731436</stp>
        <tr r="P30" s="2"/>
      </tp>
      <tp t="s">
        <v>#N/A Requesting Data...3747256811</v>
        <stp/>
        <stp>BDP|9806677067789956581</stp>
        <tr r="X174" s="2"/>
      </tp>
      <tp>
        <v>1145972</v>
        <stp/>
        <stp>BDP|13999019165871779315|22</stp>
        <stp>ALLIANZ AB Equity</stp>
        <stp>VOLUME</stp>
        <tr r="J175" s="2"/>
      </tp>
      <tp t="s">
        <v>#N/A Requesting Data...3823708603</v>
        <stp/>
        <stp>BDP|7863067111966650577</stp>
        <tr r="P57" s="2"/>
      </tp>
      <tp t="s">
        <v>#N/A Requesting Data...4163627680</v>
        <stp/>
        <stp>BDP|7001680242057407703</stp>
        <tr r="U31" s="2"/>
      </tp>
      <tp t="s">
        <v>#N/A Requesting Data...2678661059</v>
        <stp/>
        <stp>BDP|1745809848870834893</stp>
        <tr r="T253" s="2"/>
      </tp>
      <tp t="s">
        <v>#N/A Requesting Data...3968376569</v>
        <stp/>
        <stp>BDP|4095819094429388989</stp>
        <tr r="X30" s="2"/>
      </tp>
      <tp t="s">
        <v>#N/A Requesting Data...2051231554</v>
        <stp/>
        <stp>BDP|1662486400062343233</stp>
        <tr r="S242" s="2"/>
      </tp>
      <tp t="s">
        <v>#N/A N/A</v>
        <stp/>
        <stp>BDH|6622659810013860759</stp>
        <tr r="V131" s="2"/>
      </tp>
      <tp t="s">
        <v>#N/A N/A</v>
        <stp/>
        <stp>BDH|6800112610070205354</stp>
        <tr r="V261" s="2"/>
      </tp>
      <tp t="s">
        <v>#N/A Requesting Data...2353043936</v>
        <stp/>
        <stp>BDP|4155064829363796062</stp>
        <tr r="P116" s="2"/>
      </tp>
      <tp t="s">
        <v>#N/A Requesting Data...2868114856</v>
        <stp/>
        <stp>BDP|9384539399858476825</stp>
        <tr r="I199" s="2"/>
      </tp>
      <tp t="s">
        <v>#N/A Requesting Data...847350153</v>
        <stp/>
        <stp>BDP|2826008736737162300</stp>
        <tr r="T189" s="2"/>
      </tp>
      <tp t="s">
        <v>#N/A Requesting Data...1376600442</v>
        <stp/>
        <stp>BDP|6756707379724896791</stp>
        <tr r="X291" s="2"/>
      </tp>
      <tp t="s">
        <v>#N/A Requesting Data...2007637116</v>
        <stp/>
        <stp>BDP|5349867626908588290</stp>
        <tr r="P123" s="2"/>
      </tp>
      <tp t="s">
        <v>#N/A Requesting Data...1626704058</v>
        <stp/>
        <stp>BDP|4069636487326279993</stp>
        <tr r="O87" s="2"/>
      </tp>
      <tp t="s">
        <v>#N/A Requesting Data...1032016337</v>
        <stp/>
        <stp>BDP|2097630866112843514</stp>
        <tr r="I73" s="2"/>
      </tp>
      <tp t="s">
        <v>#N/A Requesting Data...2877246789</v>
        <stp/>
        <stp>BDP|2142121571382824369</stp>
        <tr r="I97" s="2"/>
      </tp>
      <tp t="s">
        <v>#N/A Requesting Data...2269568574</v>
        <stp/>
        <stp>BDP|5931240524857293772</stp>
        <tr r="T39" s="2"/>
      </tp>
      <tp t="s">
        <v>#N/A Requesting Data...3086100080</v>
        <stp/>
        <stp>BDP|3713514878134351013</stp>
        <tr r="S50" s="2"/>
      </tp>
      <tp t="s">
        <v>#N/A Requesting Data...2043469848</v>
        <stp/>
        <stp>BDP|3729906104216672993</stp>
        <tr r="P257" s="2"/>
      </tp>
      <tp t="s">
        <v>#N/A N/A</v>
        <stp/>
        <stp>BDH|5120090843285397143</stp>
        <tr r="V268" s="2"/>
      </tp>
      <tp t="s">
        <v>#N/A Requesting Data...806867912</v>
        <stp/>
        <stp>BDP|5234787734594332009</stp>
        <tr r="U263" s="2"/>
      </tp>
      <tp t="s">
        <v>#N/A Requesting Data...2227351689</v>
        <stp/>
        <stp>BDP|7155384597300470879</stp>
        <tr r="I10" s="2"/>
      </tp>
      <tp t="s">
        <v>#N/A Requesting Data...1664299485</v>
        <stp/>
        <stp>BDP|8422963235773843422</stp>
        <tr r="U29" s="2"/>
      </tp>
      <tp t="s">
        <v>#N/A Requesting Data...3991354786</v>
        <stp/>
        <stp>BDP|8098686833169140178</stp>
        <tr r="S217" s="2"/>
      </tp>
      <tp t="s">
        <v>#N/A Requesting Data...3405763811</v>
        <stp/>
        <stp>BDP|5437912788474617560</stp>
        <tr r="P99" s="2"/>
      </tp>
      <tp t="s">
        <v>#N/A Requesting Data...1624961957</v>
        <stp/>
        <stp>BDP|2677725178795772266</stp>
        <tr r="H175" s="2"/>
      </tp>
      <tp t="s">
        <v>#N/A N/A</v>
        <stp/>
        <stp>BDH|5817633589489931763</stp>
        <tr r="V172" s="2"/>
      </tp>
      <tp t="s">
        <v>#N/A Requesting Data...2824116378</v>
        <stp/>
        <stp>BDP|8092093074869885373</stp>
        <tr r="X186" s="2"/>
      </tp>
      <tp t="s">
        <v>#N/A Requesting Data...3798147128</v>
        <stp/>
        <stp>BDP|4026374540763486511</stp>
        <tr r="X46" s="2"/>
      </tp>
      <tp t="s">
        <v>#N/A Requesting Data...1792906626</v>
        <stp/>
        <stp>BDP|8589885434425977323</stp>
        <tr r="X90" s="2"/>
      </tp>
      <tp t="s">
        <v>#N/A Requesting Data...991030990</v>
        <stp/>
        <stp>BDP|5923303930055977529</stp>
        <tr r="S58" s="2"/>
      </tp>
      <tp t="s">
        <v>#N/A Requesting Data...4194495921</v>
        <stp/>
        <stp>BDP|6006587928967672349</stp>
        <tr r="H44" s="2"/>
      </tp>
      <tp t="s">
        <v>#N/A N/A</v>
        <stp/>
        <stp>BDH|6978089120385011439</stp>
        <tr r="V107" s="2"/>
      </tp>
      <tp t="s">
        <v>#N/A Requesting Data...2370057613</v>
        <stp/>
        <stp>BDP|5739035711522620308</stp>
        <tr r="I224" s="2"/>
      </tp>
      <tp t="s">
        <v>#N/A Requesting Data...3923729235</v>
        <stp/>
        <stp>BDP|5848853938823744810</stp>
        <tr r="S84" s="2"/>
      </tp>
      <tp t="s">
        <v>#N/A Requesting Data...2981661372</v>
        <stp/>
        <stp>BDP|6475160585859427302</stp>
        <tr r="X35" s="2"/>
      </tp>
      <tp t="s">
        <v>#N/A Requesting Data...3195265805</v>
        <stp/>
        <stp>BDP|3401699475264850331</stp>
        <tr r="S252" s="2"/>
      </tp>
      <tp t="s">
        <v>#N/A Requesting Data...2272960386</v>
        <stp/>
        <stp>BDP|6013297213085174581</stp>
        <tr r="P137" s="2"/>
      </tp>
      <tp t="s">
        <v>#N/A Requesting Data...3211587511</v>
        <stp/>
        <stp>BDP|5349763990656703816</stp>
        <tr r="O114" s="2"/>
      </tp>
      <tp t="s">
        <v>#N/A N/A</v>
        <stp/>
        <stp>BDH|3335411957736332157</stp>
        <tr r="V218" s="2"/>
      </tp>
      <tp t="s">
        <v>#N/A N/A</v>
        <stp/>
        <stp>BDH|7461074296132036960</stp>
        <tr r="V100" s="2"/>
      </tp>
      <tp t="s">
        <v>#N/A N/A</v>
        <stp/>
        <stp>BDH|5558579795614121853</stp>
        <tr r="V156" s="2"/>
      </tp>
      <tp t="s">
        <v>#N/A Requesting Data...2332040910</v>
        <stp/>
        <stp>BDP|5654409452806523719</stp>
        <tr r="U203" s="2"/>
      </tp>
      <tp t="s">
        <v>#N/A Requesting Data...2172420563</v>
        <stp/>
        <stp>BDP|6268799138197746044</stp>
        <tr r="S233" s="2"/>
      </tp>
      <tp t="s">
        <v>#N/A Requesting Data...1026479298</v>
        <stp/>
        <stp>BDP|2415607806984274506</stp>
        <tr r="S168" s="2"/>
      </tp>
      <tp t="s">
        <v>#N/A Requesting Data...1127317032</v>
        <stp/>
        <stp>BDP|5285130117991210142</stp>
        <tr r="T118" s="2"/>
      </tp>
      <tp t="s">
        <v>#N/A Requesting Data...1251371180</v>
        <stp/>
        <stp>BDP|1381778925319940885</stp>
        <tr r="S170" s="2"/>
      </tp>
      <tp t="s">
        <v>#N/A Requesting Data...2425386994</v>
        <stp/>
        <stp>BDP|7959999735431154948</stp>
        <tr r="O131" s="2"/>
      </tp>
      <tp t="s">
        <v>#N/A Requesting Data...1731921358</v>
        <stp/>
        <stp>BDP|4321313520519164929</stp>
        <tr r="U69" s="2"/>
      </tp>
      <tp t="s">
        <v>#N/A Requesting Data...3613230651</v>
        <stp/>
        <stp>BDP|6050013311845287739</stp>
        <tr r="O7" s="2"/>
      </tp>
      <tp t="s">
        <v>#N/A Requesting Data...3605489079</v>
        <stp/>
        <stp>BDP|1444687648000414611</stp>
        <tr r="I213" s="2"/>
      </tp>
      <tp t="s">
        <v>#N/A N/A</v>
        <stp/>
        <stp>BDH|4074764805213368515</stp>
        <tr r="V48" s="2"/>
      </tp>
      <tp t="s">
        <v>#N/A Requesting Data...1111742318</v>
        <stp/>
        <stp>BDP|8545926516307701209</stp>
        <tr r="S275" s="2"/>
      </tp>
      <tp t="s">
        <v>#N/A Requesting Data...2028574883</v>
        <stp/>
        <stp>BDP|9622859634613503441</stp>
        <tr r="S100" s="2"/>
      </tp>
      <tp t="s">
        <v>#N/A Requesting Data...2095955274</v>
        <stp/>
        <stp>BDP|1070474103969515974</stp>
        <tr r="O113" s="2"/>
      </tp>
      <tp t="s">
        <v>#N/A Requesting Data...4207853464</v>
        <stp/>
        <stp>BDP|1994647029926387605</stp>
        <tr r="P206" s="2"/>
      </tp>
      <tp t="s">
        <v>#N/A Requesting Data...4027614415</v>
        <stp/>
        <stp>BDP|5527096078423495474</stp>
        <tr r="P168" s="2"/>
      </tp>
      <tp t="s">
        <v>#N/A Requesting Data...2101060513</v>
        <stp/>
        <stp>BDP|4650632378265200589</stp>
        <tr r="I268" s="2"/>
      </tp>
      <tp t="s">
        <v>#N/A Requesting Data...2368498581</v>
        <stp/>
        <stp>BDP|1902651698632135927</stp>
        <tr r="X38" s="2"/>
      </tp>
      <tp t="s">
        <v>#N/A Requesting Data...2095139517</v>
        <stp/>
        <stp>BDP|5421606472252568345</stp>
        <tr r="H229" s="2"/>
      </tp>
      <tp t="s">
        <v>#N/A Requesting Data...2055958957</v>
        <stp/>
        <stp>BDP|8236894978780418205</stp>
        <tr r="S254" s="2"/>
      </tp>
      <tp t="s">
        <v>#N/A Requesting Data...3941008792</v>
        <stp/>
        <stp>BDP|4622006695051555916</stp>
        <tr r="S261" s="2"/>
      </tp>
      <tp t="s">
        <v>#N/A Requesting Data...2013792198</v>
        <stp/>
        <stp>BDP|1415579917352729270</stp>
        <tr r="H150" s="2"/>
      </tp>
      <tp t="s">
        <v>#N/A Requesting Data...1414925725</v>
        <stp/>
        <stp>BDP|9548816506804325055</stp>
        <tr r="I269" s="2"/>
      </tp>
      <tp t="s">
        <v>#N/A Requesting Data...2120824005</v>
        <stp/>
        <stp>BDP|2264874353659188331</stp>
        <tr r="X286" s="2"/>
      </tp>
      <tp t="s">
        <v>#N/A Requesting Data...2495688917</v>
        <stp/>
        <stp>BDP|5564097043163245794</stp>
        <tr r="H60" s="2"/>
      </tp>
      <tp t="s">
        <v>#N/A Requesting Data...1283913250</v>
        <stp/>
        <stp>BDP|8605816977281326376</stp>
        <tr r="U72" s="2"/>
      </tp>
      <tp t="s">
        <v>#N/A Requesting Data...1122208822</v>
        <stp/>
        <stp>BDP|7643125970014562053</stp>
        <tr r="S81" s="2"/>
      </tp>
      <tp t="s">
        <v>#N/A Requesting Data...2898151329</v>
        <stp/>
        <stp>BDP|3113743360264926384</stp>
        <tr r="U163" s="2"/>
      </tp>
      <tp t="s">
        <v>#N/A Requesting Data...1462129811</v>
        <stp/>
        <stp>BDP|2750468500510449305</stp>
        <tr r="X212" s="2"/>
      </tp>
      <tp t="s">
        <v>#N/A Requesting Data...1220910933</v>
        <stp/>
        <stp>BDP|7166260342135530159</stp>
        <tr r="U153" s="2"/>
      </tp>
      <tp t="s">
        <v>#N/A Requesting Data...3239007957</v>
        <stp/>
        <stp>BDP|8079777137079058058</stp>
        <tr r="T141" s="2"/>
      </tp>
      <tp t="s">
        <v>#N/A Requesting Data...3965740516</v>
        <stp/>
        <stp>BDP|4715498998955714941</stp>
        <tr r="I201" s="2"/>
      </tp>
      <tp t="s">
        <v>#N/A Requesting Data...1344232156</v>
        <stp/>
        <stp>BDP|7172178117326399476</stp>
        <tr r="I189" s="2"/>
      </tp>
      <tp t="s">
        <v>#N/A Requesting Data...4033160513</v>
        <stp/>
        <stp>BDP|1118021811061234457</stp>
        <tr r="O228" s="2"/>
      </tp>
      <tp t="s">
        <v>#N/A Requesting Data...1756561270</v>
        <stp/>
        <stp>BDP|9300148124058466728</stp>
        <tr r="U141" s="2"/>
      </tp>
      <tp t="s">
        <v>#N/A N/A</v>
        <stp/>
        <stp>BDH|2267406328084963565</stp>
        <tr r="V253" s="2"/>
      </tp>
      <tp>
        <v>45.8354</v>
        <stp/>
        <stp>BDP|12889980816071839406|22</stp>
        <stp>TAMKEEN AB Equity</stp>
        <stp>VWAP</stp>
        <tr r="N36" s="2"/>
      </tp>
      <tp>
        <v>-20</v>
        <stp/>
        <stp>BDP|6863402627677630301|22</stp>
        <stp>ALKHLEEJ AB Equity</stp>
        <stp>CHG_PCT_YTD_RT</stp>
        <tr r="F64" s="2"/>
      </tp>
      <tp>
        <v>881075</v>
        <stp/>
        <stp>BDP|9788611867313428130|22</stp>
        <stp>ALBABTAI AB Equity</stp>
        <stp>VOLUME</stp>
        <tr r="J15" s="2"/>
      </tp>
      <tp>
        <v>-11.5625</v>
        <stp/>
        <stp>BDP|5900802330914288960|22</stp>
        <stp>SRE AB Equity</stp>
        <stp>CHG_PCT_YTD_RT</stp>
        <tr r="F251" s="2"/>
      </tp>
      <tp>
        <v>8.86</v>
        <stp/>
        <stp>BDP|1028841817903565842|22</stp>
        <stp>AICC AB Equity</stp>
        <stp>LAST_PRICE</stp>
        <tr r="B168" s="2"/>
        <tr r="C168" s="2"/>
      </tp>
      <tp>
        <v>13.07</v>
        <stp/>
        <stp>BDP|8923593261323344703|22</stp>
        <stp>GACO AB Equity</stp>
        <stp>LAST_PRICE</stp>
        <tr r="C142" s="2"/>
        <tr r="B142" s="2"/>
      </tp>
      <tp>
        <v>6.76</v>
        <stp/>
        <stp>BDP|5766768574159520008|22</stp>
        <stp>AMANA AB Equity</stp>
        <stp>YEST_LAST_TRADE</stp>
        <tr r="G176" s="2"/>
      </tp>
      <tp>
        <v>5.85</v>
        <stp/>
        <stp>BDP|376640878977234201|22</stp>
        <stp>CMCER AB Equity</stp>
        <stp>HIGH</stp>
        <tr r="M161" s="2"/>
      </tp>
      <tp>
        <v>5.86</v>
        <stp/>
        <stp>BDP|14646557896757435525|22</stp>
        <stp>AOTHAIM AB Equity</stp>
        <stp>ASK</stp>
        <tr r="R82" s="2"/>
      </tp>
      <tp>
        <v>25.8</v>
        <stp/>
        <stp>BDP|13357289237615471924|22</stp>
        <stp>SAUDIRE AB Equity</stp>
        <stp>ASK</stp>
        <tr r="R167" s="2"/>
      </tp>
      <tp>
        <v>-5.3398000000000003</v>
        <stp/>
        <stp>BDP|1694511693306365231|22</stp>
        <stp>JAHEZ AB Equity</stp>
        <stp>CHG_PCT_YTD_RT</stp>
        <tr r="F62" s="2"/>
      </tp>
      <tp>
        <v>294099190</v>
        <stp/>
        <stp>BDP|3229293090280101739|22</stp>
        <stp>SASEIDX Index</stp>
        <stp>VOLUME</stp>
        <tr r="J2" s="2"/>
      </tp>
      <tp>
        <v>28.8</v>
        <stp/>
        <stp>BDP|11888949150314915534|22</stp>
        <stp>MODERNMI AB Equity</stp>
        <stp>ASK</stp>
        <tr r="R137" s="2"/>
      </tp>
      <tp>
        <v>-5.3571</v>
        <stp/>
        <stp>BDP|12427685989076652619|22</stp>
        <stp>THIMAR AB Equity</stp>
        <stp>CHG_PCT_YTD_RT</stp>
        <tr r="F83" s="2"/>
      </tp>
      <tp>
        <v>23.61</v>
        <stp/>
        <stp>BDP|12393884174338009066|22</stp>
        <stp>ALMASARA AB Equity</stp>
        <stp>BID</stp>
        <tr r="Q78" s="2"/>
      </tp>
      <tp>
        <v>5.13</v>
        <stp/>
        <stp>BDP|17170542882666465285|22</stp>
        <stp>SICOSAUD AB Equity</stp>
        <stp>ASK</stp>
        <tr r="R113" s="2"/>
      </tp>
      <tp>
        <v>3.82</v>
        <stp/>
        <stp>BDP|13207839289582384218|22</stp>
        <stp>GGCI AB Equity</stp>
        <stp>YEST_LAST_TRADE</stp>
        <tr r="G187" s="2"/>
      </tp>
      <tp>
        <v>7.81</v>
        <stp/>
        <stp>BDP|7287594142649101557|22</stp>
        <stp>BURGERIZ AB Equity</stp>
        <stp>HIGH</stp>
        <tr r="M63" s="2"/>
      </tp>
      <tp>
        <v>212</v>
        <stp/>
        <stp>BDP|10290875170849219752|22</stp>
        <stp>SULAIMAN AB Equity</stp>
        <stp>BID</stp>
        <tr r="Q153" s="2"/>
      </tp>
      <tp>
        <v>-2.26419997215271</v>
        <stp/>
        <stp>BDP|4036840878912099214|22</stp>
        <stp>CARE AB Equity</stp>
        <stp>RT_PX_CHG_PCT_1D</stp>
        <tr r="D158" s="2"/>
      </tp>
      <tp>
        <v>0</v>
        <stp/>
        <stp>BDP|2654101191579669687|22</stp>
        <stp>NCLE AB Equity</stp>
        <stp>RT_PX_CHG_PCT_1D</stp>
        <tr r="D65" s="2"/>
      </tp>
      <tp>
        <v>8.2100000000000009</v>
        <stp/>
        <stp>BDP|11225282987483280157|22</stp>
        <stp>GIZACO AB Equity</stp>
        <stp>OPEN</stp>
        <tr r="K133" s="2"/>
      </tp>
      <tp t="s">
        <v>#N/A Requesting Data...1484219612</v>
        <stp/>
        <stp>BDP|5859370829287598593</stp>
        <tr r="T125" s="2"/>
      </tp>
      <tp t="s">
        <v>#N/A Requesting Data...3763219378</v>
        <stp/>
        <stp>BDP|5560202867907153096</stp>
        <tr r="P282" s="2"/>
      </tp>
      <tp t="s">
        <v>#N/A Requesting Data...3599256474</v>
        <stp/>
        <stp>BDP|8700254648498132012</stp>
        <tr r="X129" s="2"/>
      </tp>
      <tp t="s">
        <v>#N/A Requesting Data...1848909744</v>
        <stp/>
        <stp>BDP|6871901750018085429</stp>
        <tr r="I238" s="2"/>
      </tp>
      <tp t="s">
        <v>#N/A Requesting Data...1615229987</v>
        <stp/>
        <stp>BDP|3239520854433861667</stp>
        <tr r="P38" s="2"/>
      </tp>
      <tp t="s">
        <v>#N/A N/A</v>
        <stp/>
        <stp>BDH|8635208886623872726</stp>
        <tr r="V96" s="2"/>
      </tp>
      <tp t="s">
        <v>#N/A Requesting Data...1904777428</v>
        <stp/>
        <stp>BDP|7856637570033509369</stp>
        <tr r="T222" s="2"/>
      </tp>
      <tp t="s">
        <v>#N/A Requesting Data...3021890632</v>
        <stp/>
        <stp>BDP|7581641220910026598</stp>
        <tr r="U275" s="2"/>
      </tp>
      <tp t="s">
        <v>#N/A Requesting Data...1718218655</v>
        <stp/>
        <stp>BDP|4446798652531517124</stp>
        <tr r="H219" s="2"/>
      </tp>
      <tp t="s">
        <v>#N/A Requesting Data...2273786341</v>
        <stp/>
        <stp>BDP|1091207728024919398</stp>
        <tr r="O27" s="2"/>
      </tp>
      <tp t="s">
        <v>#N/A Requesting Data...1252813818</v>
        <stp/>
        <stp>BDP|9014523367835496995</stp>
        <tr r="P32" s="2"/>
      </tp>
      <tp t="s">
        <v>#N/A Requesting Data...910647721</v>
        <stp/>
        <stp>BDP|2103275473701529099</stp>
        <tr r="H128" s="2"/>
      </tp>
      <tp t="s">
        <v>#N/A Requesting Data...2916481566</v>
        <stp/>
        <stp>BDP|9656870307876769186</stp>
        <tr r="T291" s="2"/>
      </tp>
      <tp t="s">
        <v>#N/A Requesting Data...3551481815</v>
        <stp/>
        <stp>BDP|2353237408542467451</stp>
        <tr r="H116" s="2"/>
      </tp>
      <tp t="s">
        <v>#N/A Requesting Data...3972949709</v>
        <stp/>
        <stp>BDP|1694032278009783948</stp>
        <tr r="X76" s="2"/>
      </tp>
      <tp t="s">
        <v>#N/A Requesting Data...1424944348</v>
        <stp/>
        <stp>BDP|6246290962107095377</stp>
        <tr r="O220" s="2"/>
      </tp>
      <tp t="s">
        <v>#N/A Requesting Data...1630350198</v>
        <stp/>
        <stp>BDP|2630791031899417946</stp>
        <tr r="O128" s="2"/>
      </tp>
      <tp t="s">
        <v>#N/A Requesting Data...2352547421</v>
        <stp/>
        <stp>BDP|1217010349665494600</stp>
        <tr r="S146" s="2"/>
      </tp>
      <tp t="s">
        <v>#N/A Requesting Data...1072434611</v>
        <stp/>
        <stp>BDP|1402347159886741710</stp>
        <tr r="H292" s="2"/>
      </tp>
      <tp t="s">
        <v>#N/A Requesting Data...3407569980</v>
        <stp/>
        <stp>BDP|3920531891888505115</stp>
        <tr r="O250" s="2"/>
      </tp>
      <tp t="s">
        <v>#N/A Requesting Data...1401485621</v>
        <stp/>
        <stp>BDP|1372392696249120425</stp>
        <tr r="H139" s="2"/>
      </tp>
      <tp t="s">
        <v>#N/A Requesting Data...2650887311</v>
        <stp/>
        <stp>BDP|2815679973640497574</stp>
        <tr r="H251" s="2"/>
      </tp>
      <tp t="s">
        <v>#N/A Requesting Data...2497811021</v>
        <stp/>
        <stp>BDP|1299626997248247096</stp>
        <tr r="U85" s="2"/>
      </tp>
      <tp t="s">
        <v>#N/A Requesting Data...3106995805</v>
        <stp/>
        <stp>BDP|5814432746950114308</stp>
        <tr r="O269" s="2"/>
      </tp>
      <tp t="s">
        <v>#N/A Requesting Data...3267822431</v>
        <stp/>
        <stp>BDP|6240647063817062787</stp>
        <tr r="H4" s="2"/>
      </tp>
      <tp t="s">
        <v>#N/A Requesting Data...1002677325</v>
        <stp/>
        <stp>BDP|8026235579262483933</stp>
        <tr r="X270" s="2"/>
      </tp>
      <tp t="s">
        <v>#N/A Requesting Data...2662070616</v>
        <stp/>
        <stp>BDP|8035706294933832311</stp>
        <tr r="T42" s="2"/>
      </tp>
      <tp t="s">
        <v>#N/A Requesting Data...1216140599</v>
        <stp/>
        <stp>BDP|7102995555589430444</stp>
        <tr r="P13" s="2"/>
      </tp>
      <tp t="s">
        <v>#N/A N/A</v>
        <stp/>
        <stp>BDH|1255184136411006413</stp>
        <tr r="V226" s="2"/>
      </tp>
      <tp t="s">
        <v>#N/A N/A</v>
        <stp/>
        <stp>BDH|8201696872578693721</stp>
        <tr r="V129" s="2"/>
      </tp>
      <tp t="s">
        <v>#N/A Requesting Data...3047093178</v>
        <stp/>
        <stp>BDP|2458279484089687738</stp>
        <tr r="T209" s="2"/>
      </tp>
      <tp t="s">
        <v>#N/A Requesting Data...1398062314</v>
        <stp/>
        <stp>BDP|9724977473924754569</stp>
        <tr r="X20" s="2"/>
      </tp>
      <tp t="s">
        <v>#N/A Requesting Data...1618026813</v>
        <stp/>
        <stp>BDP|9981391194810065564</stp>
        <tr r="O226" s="2"/>
      </tp>
      <tp t="s">
        <v>#N/A Requesting Data...3581802885</v>
        <stp/>
        <stp>BDP|1835675117577856724</stp>
        <tr r="U18" s="2"/>
      </tp>
      <tp t="s">
        <v>#N/A Requesting Data...1662931232</v>
        <stp/>
        <stp>BDP|7092013422921900286</stp>
        <tr r="U15" s="2"/>
      </tp>
      <tp t="s">
        <v>#N/A Requesting Data...1379086609</v>
        <stp/>
        <stp>BDP|1063576726040317004</stp>
        <tr r="P64" s="2"/>
      </tp>
      <tp t="s">
        <v>#N/A Requesting Data...1094760210</v>
        <stp/>
        <stp>BDP|9992326078122090913</stp>
        <tr r="O137" s="2"/>
      </tp>
      <tp t="s">
        <v>#N/A Requesting Data...3227858741</v>
        <stp/>
        <stp>BDP|1973850081950695791</stp>
        <tr r="X169" s="2"/>
      </tp>
      <tp t="s">
        <v>#N/A N/A</v>
        <stp/>
        <stp>BDH|6307051032013098065</stp>
        <tr r="V65" s="2"/>
      </tp>
      <tp t="s">
        <v>#N/A N/A</v>
        <stp/>
        <stp>BDH|7585397927746946600</stp>
        <tr r="V188" s="2"/>
      </tp>
      <tp t="s">
        <v>#N/A Requesting Data...3381043179</v>
        <stp/>
        <stp>BDP|8840178959622507801</stp>
        <tr r="T181" s="2"/>
      </tp>
      <tp t="s">
        <v>#N/A Requesting Data...1708022853</v>
        <stp/>
        <stp>BDP|2963900993725057198</stp>
        <tr r="O276" s="2"/>
      </tp>
      <tp t="s">
        <v>#N/A Requesting Data...3911944022</v>
        <stp/>
        <stp>BDP|2362164244410045123</stp>
        <tr r="U56" s="2"/>
      </tp>
      <tp t="s">
        <v>#N/A Requesting Data...2046433943</v>
        <stp/>
        <stp>BDP|5910165923760721082</stp>
        <tr r="P82" s="2"/>
      </tp>
      <tp t="s">
        <v>#N/A Requesting Data...1289426489</v>
        <stp/>
        <stp>BDP|5709556602685939391</stp>
        <tr r="X181" s="2"/>
      </tp>
      <tp t="s">
        <v>#N/A Requesting Data...1720547818</v>
        <stp/>
        <stp>BDP|2768728103827473423</stp>
        <tr r="X16" s="2"/>
      </tp>
      <tp t="s">
        <v>#N/A Requesting Data...4276181093</v>
        <stp/>
        <stp>BDP|6778232662274675004</stp>
        <tr r="H291" s="2"/>
      </tp>
      <tp>
        <v>3.9340000000000002</v>
        <stp/>
        <stp>BDP|17382591401146830496|22</stp>
        <stp>ALRAJHI AB Equity</stp>
        <stp>CHG_PCT_YTD_RT</stp>
        <tr r="F98" s="2"/>
      </tp>
      <tp t="s">
        <v>#N/A Requesting Data...2975523961</v>
        <stp/>
        <stp>BDP|1760722867846361002</stp>
        <tr r="S91" s="2"/>
      </tp>
      <tp t="s">
        <v>#N/A Requesting Data...1566802033</v>
        <stp/>
        <stp>BDP|8090465689642812065</stp>
        <tr r="H163" s="2"/>
      </tp>
      <tp t="s">
        <v>#N/A Requesting Data...2025601170</v>
        <stp/>
        <stp>BDP|9088103282725147326</stp>
        <tr r="P121" s="2"/>
      </tp>
      <tp t="s">
        <v>#N/A Requesting Data...3822094269</v>
        <stp/>
        <stp>BDP|4615668371551280224</stp>
        <tr r="U139" s="2"/>
      </tp>
      <tp t="s">
        <v>#N/A N/A</v>
        <stp/>
        <stp>BDH|2650135232116004066</stp>
        <tr r="V25" s="2"/>
      </tp>
      <tp t="s">
        <v>#N/A Requesting Data...2250168876</v>
        <stp/>
        <stp>BDP|6247329470794672005</stp>
        <tr r="I85" s="2"/>
      </tp>
      <tp t="s">
        <v>#N/A Requesting Data...2406877177</v>
        <stp/>
        <stp>BDP|4497311448575840037</stp>
        <tr r="S136" s="2"/>
      </tp>
      <tp t="s">
        <v>#N/A Requesting Data...2133145649</v>
        <stp/>
        <stp>BDP|9674716588127157784</stp>
        <tr r="T55" s="2"/>
      </tp>
      <tp t="s">
        <v>#N/A Requesting Data...3104846674</v>
        <stp/>
        <stp>BDP|4120911695885588762</stp>
        <tr r="H236" s="2"/>
      </tp>
      <tp t="s">
        <v>#N/A Requesting Data...3655600077</v>
        <stp/>
        <stp>BDP|2019355264252010377</stp>
        <tr r="H269" s="2"/>
      </tp>
      <tp t="s">
        <v>#N/A Requesting Data...2244359286</v>
        <stp/>
        <stp>BDP|3207371671764047524</stp>
        <tr r="S204" s="2"/>
      </tp>
      <tp t="s">
        <v>#N/A Requesting Data...3475128498</v>
        <stp/>
        <stp>BDP|4347759221484539353</stp>
        <tr r="S221" s="2"/>
      </tp>
      <tp t="s">
        <v>#N/A Requesting Data...2027454318</v>
        <stp/>
        <stp>BDP|3905667346522982576</stp>
        <tr r="O158" s="2"/>
      </tp>
      <tp t="s">
        <v>#N/A Requesting Data...4000544023</v>
        <stp/>
        <stp>BDP|8106120404086124917</stp>
        <tr r="U104" s="2"/>
      </tp>
      <tp t="s">
        <v>#N/A Requesting Data...1379421414</v>
        <stp/>
        <stp>BDP|8093209531148319755</stp>
        <tr r="O110" s="2"/>
      </tp>
      <tp t="s">
        <v>#N/A Requesting Data...3759429867</v>
        <stp/>
        <stp>BDP|5975620404145929010</stp>
        <tr r="I31" s="2"/>
      </tp>
      <tp t="s">
        <v>#N/A Requesting Data...2206357749</v>
        <stp/>
        <stp>BDP|3713650632358131867</stp>
        <tr r="T228" s="2"/>
      </tp>
      <tp t="s">
        <v>#N/A N/A</v>
        <stp/>
        <stp>BDH|8594250693945050045</stp>
        <tr r="V26" s="2"/>
      </tp>
      <tp t="s">
        <v>#N/A Requesting Data...1809419299</v>
        <stp/>
        <stp>BDP|5952371529781165320</stp>
        <tr r="S15" s="2"/>
      </tp>
      <tp t="s">
        <v>#N/A Requesting Data...3278857042</v>
        <stp/>
        <stp>BDP|2771739637479443939</stp>
        <tr r="U234" s="2"/>
      </tp>
      <tp t="s">
        <v>#N/A Requesting Data...2663522167</v>
        <stp/>
        <stp>BDP|2051341795717305965</stp>
        <tr r="I258" s="2"/>
      </tp>
      <tp t="s">
        <v>#N/A Requesting Data...3754062368</v>
        <stp/>
        <stp>BDP|9379900113016290172</stp>
        <tr r="P187" s="2"/>
      </tp>
      <tp t="s">
        <v>#N/A Requesting Data...2862243573</v>
        <stp/>
        <stp>BDP|4971201716119257880</stp>
        <tr r="P36" s="2"/>
      </tp>
      <tp t="s">
        <v>#N/A Requesting Data...2889066711</v>
        <stp/>
        <stp>BDP|9314325590615758035</stp>
        <tr r="U221" s="2"/>
      </tp>
      <tp t="s">
        <v>#N/A Requesting Data...1301545462</v>
        <stp/>
        <stp>BDP|7763194872584119384</stp>
        <tr r="I21" s="2"/>
      </tp>
      <tp t="s">
        <v>#N/A Requesting Data...4171395464</v>
        <stp/>
        <stp>BDP|5301160076115673003</stp>
        <tr r="S113" s="2"/>
      </tp>
      <tp t="s">
        <v>#N/A Requesting Data...1073193965</v>
        <stp/>
        <stp>BDP|8573755698620804051</stp>
        <tr r="U226" s="2"/>
      </tp>
      <tp t="s">
        <v>#N/A Requesting Data...3816924958</v>
        <stp/>
        <stp>BDP|3236405454331659555</stp>
        <tr r="H158" s="2"/>
      </tp>
      <tp t="s">
        <v>#N/A Requesting Data...3342840708</v>
        <stp/>
        <stp>BDP|3719672626597548665</stp>
        <tr r="S174" s="2"/>
      </tp>
      <tp t="s">
        <v>#N/A Requesting Data...2667138954</v>
        <stp/>
        <stp>BDP|9874675502070007984</stp>
        <tr r="U211" s="2"/>
      </tp>
      <tp>
        <v>10.69</v>
        <stp/>
        <stp>BDP|11835731714076363358|22</stp>
        <stp>ZAINKSA AB Equity</stp>
        <stp>OPEN</stp>
        <tr r="K276" s="2"/>
      </tp>
      <tp>
        <v>5025950</v>
        <stp/>
        <stp>BDP|8660655862721402901|22</stp>
        <stp>SPORTCLU AB Equity</stp>
        <stp>VOLUME</stp>
        <tr r="J67" s="2"/>
      </tp>
      <tp>
        <v>14.3781</v>
        <stp/>
        <stp>BDP|14864509866001905819|22</stp>
        <stp>SIPCHEM AB Equity</stp>
        <stp>VWAP</stp>
        <tr r="N236" s="2"/>
      </tp>
      <tp>
        <v>18.32</v>
        <stp/>
        <stp>BDP|13835718601379944455|22</stp>
        <stp>ALARKAN AB Equity</stp>
        <stp>HIGH</stp>
        <tr r="M255" s="2"/>
      </tp>
      <tp>
        <v>687715</v>
        <stp/>
        <stp>BDP|9516156736753420907|22</stp>
        <stp>ALETIHAD AB Equity</stp>
        <stp>VOLUME</stp>
        <tr r="J180" s="2"/>
      </tp>
      <tp>
        <v>17312507</v>
        <stp/>
        <stp>BDP|4835439941922910919|22</stp>
        <stp>AMERICAN AB Equity</stp>
        <stp>VOLUME</stp>
        <tr r="J68" s="2"/>
      </tp>
      <tp>
        <v>11.841699999999999</v>
        <stp/>
        <stp>BDP|15131796804093902642|22</stp>
        <stp>ALABDUL AB Equity</stp>
        <stp>VWAP</stp>
        <tr r="N58" s="2"/>
      </tp>
      <tp>
        <v>11.1</v>
        <stp/>
        <stp>BDP|13857550690962854282|22</stp>
        <stp>ALLIANZ AB Equity</stp>
        <stp>OPEN</stp>
        <tr r="K175" s="2"/>
      </tp>
      <tp>
        <v>11.06</v>
        <stp/>
        <stp>BDP|11222572759580150461|22</stp>
        <stp>LAZURDE AB Equity</stp>
        <stp>LOW</stp>
        <tr r="L57" s="2"/>
      </tp>
      <tp>
        <v>522953</v>
        <stp/>
        <stp>BDP|7243157225354680876|22</stp>
        <stp>HERFY AB Equity</stp>
        <stp>VOLUME</stp>
        <tr r="J69" s="2"/>
      </tp>
      <tp>
        <v>30444</v>
        <stp/>
        <stp>BDP|2688720075778767422|22</stp>
        <stp>SCACO AB Equity</stp>
        <stp>VOLUME</stp>
        <tr r="J28" s="2"/>
      </tp>
      <tp>
        <v>11.16</v>
        <stp/>
        <stp>BDP|16165970812962188235|22</stp>
        <stp>LAZURDE AB Equity</stp>
        <stp>ASK</stp>
        <tr r="R57" s="2"/>
      </tp>
      <tp t="s">
        <v>#N/A N/A</v>
        <stp/>
        <stp>BDH|29131312933259851</stp>
        <tr r="V45" s="2"/>
      </tp>
      <tp>
        <v>2.7</v>
        <stp/>
        <stp>BDP|13913120686266074591|22</stp>
        <stp>ALWASAIL AB Equity</stp>
        <stp>ASK</stp>
        <tr r="R32" s="2"/>
      </tp>
      <tp>
        <v>5</v>
        <stp/>
        <stp>BDP|12403768920964854324|22</stp>
        <stp>JOUF AB Equity</stp>
        <stp>YEST_LAST_TRADE</stp>
        <tr r="G216" s="2"/>
      </tp>
      <tp>
        <v>7</v>
        <stp/>
        <stp>BDP|2526949584353941893|22</stp>
        <stp>ALISADRF AB Equity</stp>
        <stp>HIGH</stp>
        <tr r="M109" s="2"/>
      </tp>
      <tp>
        <v>12.8</v>
        <stp/>
        <stp>BDP|4181532480150146566|22</stp>
        <stp>SMARKETI AB Equity</stp>
        <stp>OPEN</stp>
        <tr r="K85" s="2"/>
      </tp>
      <tp>
        <v>15.25</v>
        <stp/>
        <stp>BDP|16491002965443345311|22</stp>
        <stp>ALKHLEEJ AB Equity</stp>
        <stp>ASK</stp>
        <tr r="R64" s="2"/>
      </tp>
      <tp>
        <v>6.74</v>
        <stp/>
        <stp>BDP|6045124420759085876|22</stp>
        <stp>NORTHCEM AB Equity</stp>
        <stp>HIGH</stp>
        <tr r="M230" s="2"/>
      </tp>
      <tp>
        <v>90.8</v>
        <stp/>
        <stp>BDP|11335035309373426949|22</stp>
        <stp>ARABIAND AB Equity</stp>
        <stp>ASK</stp>
        <tr r="R91" s="2"/>
      </tp>
      <tp>
        <v>23.684000000000001</v>
        <stp/>
        <stp>BDP|9514413067585877892|22</stp>
        <stp>ALMASARA AB Equity</stp>
        <stp>VWAP</stp>
        <tr r="N78" s="2"/>
      </tp>
      <tp>
        <v>503592</v>
        <stp/>
        <stp>BDP|10592246943805642093|22</stp>
        <stp>TAKWEEN AB Equity</stp>
        <stp>VOLUME</stp>
        <tr r="J218" s="2"/>
      </tp>
      <tp>
        <v>12.15</v>
        <stp/>
        <stp>BDP|11663265153839858923|22</stp>
        <stp>KEC AB Equity</stp>
        <stp>LAST_PRICE</stp>
        <tr r="B263" s="2"/>
        <tr r="C263" s="2"/>
      </tp>
      <tp>
        <v>10.3</v>
        <stp/>
        <stp>BDP|13401919835877469808|22</stp>
        <stp>MALATH AB Equity</stp>
        <stp>HIGH</stp>
        <tr r="M182" s="2"/>
      </tp>
      <tp>
        <v>877863</v>
        <stp/>
        <stp>BDP|937688380422475213|22</stp>
        <stp>JOUF AB Equity</stp>
        <stp>VOLUME</stp>
        <tr r="J216" s="2"/>
      </tp>
      <tp t="s">
        <v>#N/A Requesting Data...1900675730</v>
        <stp/>
        <stp>BDP|8746396152001578838</stp>
        <tr r="X196" s="2"/>
      </tp>
      <tp t="s">
        <v>#N/A Requesting Data...3112671167</v>
        <stp/>
        <stp>BDP|7971415702427501355</stp>
        <tr r="O132" s="2"/>
      </tp>
      <tp t="s">
        <v>#N/A Requesting Data...1922972291</v>
        <stp/>
        <stp>BDP|3567637750504899348</stp>
        <tr r="U152" s="2"/>
      </tp>
      <tp t="s">
        <v>#N/A Requesting Data...1562248389</v>
        <stp/>
        <stp>BDP|2613102802446610282</stp>
        <tr r="P242" s="2"/>
      </tp>
      <tp t="s">
        <v>#N/A Requesting Data...3334500954</v>
        <stp/>
        <stp>BDP|8619184792140381758</stp>
        <tr r="U62" s="2"/>
      </tp>
      <tp t="s">
        <v>#N/A Requesting Data...3103154930</v>
        <stp/>
        <stp>BDP|2821515359676329388</stp>
        <tr r="T77" s="2"/>
      </tp>
      <tp t="s">
        <v>#N/A Requesting Data...3151989504</v>
        <stp/>
        <stp>BDP|5999141535504970492</stp>
        <tr r="H38" s="2"/>
      </tp>
      <tp t="s">
        <v>#N/A Requesting Data...1261067789</v>
        <stp/>
        <stp>BDP|6372751001293680597</stp>
        <tr r="X172" s="2"/>
      </tp>
      <tp t="s">
        <v>#N/A Requesting Data...1865230711</v>
        <stp/>
        <stp>BDP|1804788066323782499</stp>
        <tr r="T154" s="2"/>
      </tp>
      <tp t="s">
        <v>#N/A Requesting Data...3322929588</v>
        <stp/>
        <stp>BDP|4280756339005553236</stp>
        <tr r="T34" s="2"/>
      </tp>
      <tp t="s">
        <v>#N/A Requesting Data...1954436985</v>
        <stp/>
        <stp>BDP|2203243301873825474</stp>
        <tr r="T224" s="2"/>
      </tp>
      <tp t="s">
        <v>#N/A Requesting Data...3499869669</v>
        <stp/>
        <stp>BDP|4936020545405690201</stp>
        <tr r="T268" s="2"/>
      </tp>
      <tp t="s">
        <v>#N/A Requesting Data...3854441404</v>
        <stp/>
        <stp>BDP|2959498792530269880</stp>
        <tr r="T208" s="2"/>
      </tp>
      <tp t="s">
        <v>#N/A Requesting Data...3696076882</v>
        <stp/>
        <stp>BDP|9144745754674143887</stp>
        <tr r="H40" s="2"/>
      </tp>
      <tp t="s">
        <v>#N/A Requesting Data...3323956213</v>
        <stp/>
        <stp>BDP|6721384284119162325</stp>
        <tr r="O165" s="2"/>
      </tp>
      <tp t="s">
        <v>#N/A Requesting Data...3939285487</v>
        <stp/>
        <stp>BDP|3929439600674355400</stp>
        <tr r="I123" s="2"/>
      </tp>
      <tp t="s">
        <v>#N/A Requesting Data...3719096057</v>
        <stp/>
        <stp>BDP|2932462523010147348</stp>
        <tr r="S140" s="2"/>
      </tp>
      <tp t="s">
        <v>#N/A Requesting Data...4178122654</v>
        <stp/>
        <stp>BDP|7735431406040290498</stp>
        <tr r="P131" s="2"/>
      </tp>
      <tp t="s">
        <v>#N/A N/A</v>
        <stp/>
        <stp>BDH|2421605879842239661</stp>
        <tr r="V194" s="2"/>
      </tp>
      <tp t="s">
        <v>#N/A Requesting Data...2174343566</v>
        <stp/>
        <stp>BDP|3871736972936556226</stp>
        <tr r="H16" s="2"/>
      </tp>
      <tp t="s">
        <v>#N/A Requesting Data...2163140587</v>
        <stp/>
        <stp>BDP|4397699700606180350</stp>
        <tr r="S267" s="2"/>
      </tp>
      <tp t="s">
        <v>#N/A Requesting Data...2862759143</v>
        <stp/>
        <stp>BDP|4754153657160343782</stp>
        <tr r="U241" s="2"/>
      </tp>
      <tp t="s">
        <v>#N/A N/A</v>
        <stp/>
        <stp>BDH|5994367370611190703</stp>
        <tr r="V283" s="2"/>
      </tp>
      <tp>
        <v>6.3</v>
        <stp/>
        <stp>BDP|12359090520243534064|22</stp>
        <stp>SMASCO AB Equity</stp>
        <stp>HIGH</stp>
        <tr r="M35" s="2"/>
      </tp>
      <tp t="s">
        <v>#N/A Requesting Data...1681342887</v>
        <stp/>
        <stp>BDP|3756336233580054484</stp>
        <tr r="U103" s="2"/>
      </tp>
      <tp t="s">
        <v>#N/A N/A</v>
        <stp/>
        <stp>BDH|3568389450036529479</stp>
        <tr r="V8" s="2"/>
      </tp>
      <tp t="s">
        <v>#N/A N/A</v>
        <stp/>
        <stp>BDH|6299468351978941832</stp>
        <tr r="V241" s="2"/>
      </tp>
      <tp t="s">
        <v>#N/A Requesting Data...3896983607</v>
        <stp/>
        <stp>BDP|3281245278920581176</stp>
        <tr r="I94" s="2"/>
      </tp>
      <tp t="s">
        <v>#N/A Requesting Data...1202984156</v>
        <stp/>
        <stp>BDP|6898209897148289214</stp>
        <tr r="O166" s="2"/>
      </tp>
      <tp t="s">
        <v>#N/A Requesting Data...1809762512</v>
        <stp/>
        <stp>BDP|7601472653505937477</stp>
        <tr r="I285" s="2"/>
      </tp>
      <tp t="s">
        <v>#N/A Requesting Data...3646360355</v>
        <stp/>
        <stp>BDP|8048659484543840246</stp>
        <tr r="S27" s="2"/>
      </tp>
      <tp t="s">
        <v>#N/A Requesting Data...3121985798</v>
        <stp/>
        <stp>BDP|4985167037533652232</stp>
        <tr r="I99" s="2"/>
      </tp>
      <tp t="s">
        <v>#N/A Requesting Data...1163066503</v>
        <stp/>
        <stp>BDP|4696970268954555819</stp>
        <tr r="X202" s="2"/>
      </tp>
      <tp t="s">
        <v>#N/A Requesting Data...1738330145</v>
        <stp/>
        <stp>BDP|6804155892919152036</stp>
        <tr r="S83" s="2"/>
      </tp>
      <tp t="s">
        <v>#N/A Requesting Data...2064811580</v>
        <stp/>
        <stp>BDP|9382783624408204309</stp>
        <tr r="O71" s="2"/>
      </tp>
      <tp t="s">
        <v>#N/A N/A</v>
        <stp/>
        <stp>BDH|3927054791169564450</stp>
        <tr r="V16" s="2"/>
      </tp>
      <tp t="s">
        <v>#N/A Requesting Data...3720683014</v>
        <stp/>
        <stp>BDP|4677483378043180357</stp>
        <tr r="I161" s="2"/>
      </tp>
      <tp t="s">
        <v>#N/A Requesting Data...2614464052</v>
        <stp/>
        <stp>BDP|9545657091061083030</stp>
        <tr r="O223" s="2"/>
      </tp>
      <tp t="s">
        <v>#N/A Requesting Data...3004281222</v>
        <stp/>
        <stp>BDP|5330405795707097847</stp>
        <tr r="U274" s="2"/>
      </tp>
      <tp t="s">
        <v>#N/A Requesting Data...3551465748</v>
        <stp/>
        <stp>BDP|5780710917750247415</stp>
        <tr r="O192" s="2"/>
      </tp>
      <tp t="s">
        <v>#N/A Requesting Data...3489051014</v>
        <stp/>
        <stp>BDP|6824597362220872292</stp>
        <tr r="X219" s="2"/>
      </tp>
      <tp t="s">
        <v>#N/A Requesting Data...3266458957</v>
        <stp/>
        <stp>BDP|6538682634544316082</stp>
        <tr r="S66" s="2"/>
      </tp>
      <tp t="s">
        <v>#N/A Requesting Data...1141245312</v>
        <stp/>
        <stp>BDP|3526326821250641524</stp>
        <tr r="S53" s="2"/>
      </tp>
      <tp t="s">
        <v>#N/A Requesting Data...3308348522</v>
        <stp/>
        <stp>BDP|4216239827095470616</stp>
        <tr r="P153" s="2"/>
      </tp>
      <tp t="s">
        <v>#N/A Requesting Data...4141455294</v>
        <stp/>
        <stp>BDP|1070690771925366280</stp>
        <tr r="T202" s="2"/>
      </tp>
      <tp t="s">
        <v>#N/A Requesting Data...2662144269</v>
        <stp/>
        <stp>BDP|5643407865246885684</stp>
        <tr r="X144" s="2"/>
      </tp>
      <tp t="s">
        <v>#N/A Requesting Data...3808903043</v>
        <stp/>
        <stp>BDP|7410278471780558547</stp>
        <tr r="P89" s="2"/>
      </tp>
      <tp t="s">
        <v>#N/A Requesting Data...3883184884</v>
        <stp/>
        <stp>BDP|2114101434896551131</stp>
        <tr r="H23" s="2"/>
      </tp>
      <tp t="s">
        <v>#N/A Requesting Data...3731697893</v>
        <stp/>
        <stp>BDP|3172837760223828990</stp>
        <tr r="O22" s="2"/>
      </tp>
      <tp t="s">
        <v>#N/A Requesting Data...2119633518</v>
        <stp/>
        <stp>BDP|5496386038817466533</stp>
        <tr r="O261" s="2"/>
      </tp>
      <tp t="s">
        <v>#N/A Requesting Data...4047428435</v>
        <stp/>
        <stp>BDP|8194995649814756657</stp>
        <tr r="P20" s="2"/>
      </tp>
      <tp t="s">
        <v>#N/A N/A</v>
        <stp/>
        <stp>BDH|2342025660654005727</stp>
        <tr r="V11" s="2"/>
      </tp>
      <tp>
        <v>88356</v>
        <stp/>
        <stp>BDP|665761214181455018|22</stp>
        <stp>AWPT AB Equity</stp>
        <stp>VOLUME</stp>
        <tr r="J290" s="2"/>
      </tp>
      <tp t="s">
        <v>#N/A N/A</v>
        <stp/>
        <stp>BDH|8849095116386049841</stp>
        <tr r="V270" s="2"/>
      </tp>
      <tp t="s">
        <v>#N/A Requesting Data...3162151599</v>
        <stp/>
        <stp>BDP|2594563549574856021</stp>
        <tr r="O108" s="2"/>
      </tp>
      <tp t="s">
        <v>#N/A Requesting Data...3311752528</v>
        <stp/>
        <stp>BDP|5906133590619997336</stp>
        <tr r="P169" s="2"/>
      </tp>
      <tp t="s">
        <v>#N/A Requesting Data...1774110488</v>
        <stp/>
        <stp>BDP|6705538167906725441</stp>
        <tr r="H12" s="2"/>
      </tp>
      <tp t="s">
        <v>#N/A Requesting Data...1176885236</v>
        <stp/>
        <stp>BDP|1678440051452213510</stp>
        <tr r="S23" s="2"/>
      </tp>
      <tp t="s">
        <v>#N/A Requesting Data...1795060881</v>
        <stp/>
        <stp>BDP|5993741435326818013</stp>
        <tr r="T11" s="2"/>
      </tp>
      <tp t="s">
        <v>#N/A Requesting Data...1692904521</v>
        <stp/>
        <stp>BDP|2587046736395008365</stp>
        <tr r="H124" s="2"/>
      </tp>
      <tp t="s">
        <v>#N/A Requesting Data...3102603984</v>
        <stp/>
        <stp>BDP|7805009080311161983</stp>
        <tr r="U40" s="2"/>
      </tp>
      <tp t="s">
        <v>#N/A Requesting Data...1671182670</v>
        <stp/>
        <stp>BDP|7286758731241228551</stp>
        <tr r="T173" s="2"/>
      </tp>
      <tp t="s">
        <v>#N/A Requesting Data...3029539927</v>
        <stp/>
        <stp>BDP|5661609455612376318</stp>
        <tr r="S144" s="2"/>
      </tp>
      <tp t="s">
        <v>#N/A N/A</v>
        <stp/>
        <stp>BDH|2665759652647539053</stp>
        <tr r="V227" s="2"/>
      </tp>
      <tp t="s">
        <v>#N/A Requesting Data...1374527958</v>
        <stp/>
        <stp>BDP|4105146450700121729</stp>
        <tr r="H193" s="2"/>
      </tp>
      <tp t="s">
        <v>#N/A Requesting Data...3915427302</v>
        <stp/>
        <stp>BDP|2403607597119709325</stp>
        <tr r="S154" s="2"/>
      </tp>
      <tp t="s">
        <v>#N/A Requesting Data...3452726609</v>
        <stp/>
        <stp>BDP|4912820678034463815</stp>
        <tr r="O284" s="2"/>
      </tp>
      <tp t="s">
        <v>#N/A Requesting Data...1168107388</v>
        <stp/>
        <stp>BDP|3102705676966002218</stp>
        <tr r="O252" s="2"/>
      </tp>
      <tp t="s">
        <v>#N/A Requesting Data...3217060274</v>
        <stp/>
        <stp>BDP|7163567253599078927</stp>
        <tr r="O45" s="2"/>
      </tp>
      <tp t="s">
        <v>#N/A Requesting Data...4168382811</v>
        <stp/>
        <stp>BDP|6271119764761286728</stp>
        <tr r="P28" s="2"/>
      </tp>
      <tp t="s">
        <v>#N/A Requesting Data...1432313306</v>
        <stp/>
        <stp>BDP|4520906183937622570</stp>
        <tr r="T289" s="2"/>
      </tp>
      <tp t="s">
        <v>#N/A Requesting Data...1447190632</v>
        <stp/>
        <stp>BDP|8705839372848419856</stp>
        <tr r="X142" s="2"/>
      </tp>
      <tp t="s">
        <v>#N/A Requesting Data...2912516125</v>
        <stp/>
        <stp>BDP|4477674826834218337</stp>
        <tr r="T65" s="2"/>
      </tp>
      <tp t="s">
        <v>#N/A Requesting Data...1180488328</v>
        <stp/>
        <stp>BDP|9061861875939254854</stp>
        <tr r="O265" s="2"/>
      </tp>
      <tp t="s">
        <v>#N/A Requesting Data...4168006634</v>
        <stp/>
        <stp>BDP|1557197309141652678</stp>
        <tr r="O209" s="2"/>
      </tp>
      <tp t="s">
        <v>#N/A Requesting Data...3668087162</v>
        <stp/>
        <stp>BDP|9503301382107422271</stp>
        <tr r="T236" s="2"/>
      </tp>
      <tp t="s">
        <v>#N/A Requesting Data...3978026123</v>
        <stp/>
        <stp>BDP|1162150786916087964</stp>
        <tr r="U232" s="2"/>
      </tp>
      <tp t="s">
        <v>#N/A Requesting Data...4194031391</v>
        <stp/>
        <stp>BDP|1120958113717121929</stp>
        <tr r="I182" s="2"/>
      </tp>
      <tp t="s">
        <v>#N/A Requesting Data...2868523800</v>
        <stp/>
        <stp>BDP|4715746367591743370</stp>
        <tr r="P246" s="2"/>
      </tp>
      <tp t="s">
        <v>#N/A N/A</v>
        <stp/>
        <stp>BDH|3513125266590189344</stp>
        <tr r="V200" s="2"/>
      </tp>
      <tp t="s">
        <v>#N/A N/A</v>
        <stp/>
        <stp>BDH|5977236817962843312</stp>
        <tr r="V20" s="2"/>
      </tp>
      <tp t="s">
        <v>#N/A Requesting Data...3043360744</v>
        <stp/>
        <stp>BDP|2626763936030788140</stp>
        <tr r="T153" s="2"/>
      </tp>
      <tp t="s">
        <v>#N/A Requesting Data...2112163388</v>
        <stp/>
        <stp>BDP|3143255766870244054</stp>
        <tr r="X125" s="2"/>
      </tp>
      <tp t="s">
        <v>#N/A Requesting Data...3785151539</v>
        <stp/>
        <stp>BDP|4766106097732257977</stp>
        <tr r="O81" s="2"/>
      </tp>
      <tp t="s">
        <v>#N/A N/A</v>
        <stp/>
        <stp>BDH|9583819815932738539</stp>
        <tr r="V284" s="2"/>
      </tp>
      <tp>
        <v>48955</v>
        <stp/>
        <stp>BDP|6425104268964268216|22</stp>
        <stp>FAKEEHCA AB Equity</stp>
        <stp>VOLUME</stp>
        <tr r="J157" s="2"/>
      </tp>
      <tp>
        <v>23.11</v>
        <stp/>
        <stp>BDP|9603239238739268965|22</stp>
        <stp>ARCCO AB Equity</stp>
        <stp>YEST_LAST_TRADE</stp>
        <tr r="G231" s="2"/>
      </tp>
      <tp>
        <v>79780</v>
        <stp/>
        <stp>BDP|5484099216848442512|22</stp>
        <stp>MODERNMI AB Equity</stp>
        <stp>VOLUME</stp>
        <tr r="J137" s="2"/>
      </tp>
      <tp>
        <v>5.05</v>
        <stp/>
        <stp>BDP|12096895978159609865|22</stp>
        <stp>RYDREIT AB Equity</stp>
        <stp>HIGH</stp>
        <tr r="M111" s="2"/>
      </tp>
      <tp>
        <v>37.799999999999997</v>
        <stp/>
        <stp>BDP|16940381846991170089|22</stp>
        <stp>MARAFIQ AB Equity</stp>
        <stp>OPEN</stp>
        <tr r="K288" s="2"/>
      </tp>
      <tp>
        <v>3.03</v>
        <stp/>
        <stp>BDP|3809338560732727058|22</stp>
        <stp>BANAN AB Equity</stp>
        <stp>YEST_LAST_TRADE</stp>
        <tr r="G256" s="2"/>
      </tp>
      <tp>
        <v>16.309999999999999</v>
        <stp/>
        <stp>BDP|357256111197223534|22</stp>
        <stp>ASLAK AB Equity</stp>
        <stp>OPEN</stp>
        <tr r="K219" s="2"/>
      </tp>
      <tp>
        <v>279966</v>
        <stp/>
        <stp>BDP|4477575615879699549|22</stp>
        <stp>ARCCI AB Equity</stp>
        <stp>VOLUME</stp>
        <tr r="J166" s="2"/>
      </tp>
      <tp>
        <v>1.8487000465393066</v>
        <stp/>
        <stp>BDP|16518483143567969155|22</stp>
        <stp>BCI AB Equity</stp>
        <stp>RT_PX_CHG_PCT_1D</stp>
        <tr r="D201" s="2"/>
      </tp>
      <tp>
        <v>1000501</v>
        <stp/>
        <stp>BDP|5801879489725058001|22</stp>
        <stp>ASACO AB Equity</stp>
        <stp>VOLUME</stp>
        <tr r="J127" s="2"/>
      </tp>
      <tp>
        <v>314041</v>
        <stp/>
        <stp>BDP|6930784629808439554|22</stp>
        <stp>WATAN AB Equity</stp>
        <stp>VOLUME</stp>
        <tr r="J165" s="2"/>
      </tp>
      <tp>
        <v>8.18</v>
        <stp/>
        <stp>BDP|18223190560817006558|22</stp>
        <stp>ALRAJHI AB Equity</stp>
        <stp>LOW</stp>
        <tr r="L98" s="2"/>
      </tp>
      <tp>
        <v>2.5596999999999999</v>
        <stp/>
        <stp>BDP|3213570432235219028|22</stp>
        <stp>RETAL AB Equity</stp>
        <stp>CHG_PCT_YTD_RT</stp>
        <tr r="F250" s="2"/>
      </tp>
      <tp>
        <v>-0.29970000000000002</v>
        <stp/>
        <stp>BDP|9112739671784124547|22</stp>
        <stp>EMAAR AB Equity</stp>
        <stp>CHG_PCT_YTD_RT</stp>
        <tr r="F262" s="2"/>
      </tp>
      <tp>
        <v>2514736</v>
        <stp/>
        <stp>BDP|8918166749766632223|22</stp>
        <stp>SABIC AB Equity</stp>
        <stp>VOLUME</stp>
        <tr r="J228" s="2"/>
      </tp>
      <tp>
        <v>4.93</v>
        <stp/>
        <stp>BDP|9504718961985330000|22</stp>
        <stp>BINDAWOO AB Equity</stp>
        <stp>HIGH</stp>
        <tr r="M80" s="2"/>
      </tp>
      <tp>
        <v>211</v>
        <stp/>
        <stp>BDP|4265619744073910098|22</stp>
        <stp>SULAIMAN AB Equity</stp>
        <stp>OPEN</stp>
        <tr r="K153" s="2"/>
      </tp>
      <tp>
        <v>10.89</v>
        <stp/>
        <stp>BDP|17818046365140048886|22</stp>
        <stp>AADC AB Equity</stp>
        <stp>YEST_LAST_TRADE</stp>
        <tr r="G128" s="2"/>
      </tp>
      <tp>
        <v>8.33</v>
        <stp/>
        <stp>BDP|13872713742329180527|22</stp>
        <stp>ALINMAHO AB Equity</stp>
        <stp>ASK</stp>
        <tr r="R97" s="2"/>
      </tp>
      <tp>
        <v>213713</v>
        <stp/>
        <stp>BDP|13136441739581197850|22</stp>
        <stp>SCERCO AB Equity</stp>
        <stp>VOLUME</stp>
        <tr r="J20" s="2"/>
      </tp>
      <tp>
        <v>10.3956</v>
        <stp/>
        <stp>BDP|15474152585647156222|22</stp>
        <stp>SHIELD AB Equity</stp>
        <stp>CHG_PCT_YTD_RT</stp>
        <tr r="F174" s="2"/>
      </tp>
      <tp>
        <v>12.89</v>
        <stp/>
        <stp>BDP|10489510270046615581|22</stp>
        <stp>GACO AB Equity</stp>
        <stp>YEST_LAST_TRADE</stp>
        <tr r="G142" s="2"/>
      </tp>
      <tp>
        <v>118.72539999999999</v>
        <stp/>
        <stp>BDP|2716322332582483824|22</stp>
        <stp>RIYADHCA AB Equity</stp>
        <stp>VWAP</stp>
        <tr r="N23" s="2"/>
      </tp>
      <tp>
        <v>8.9021000000000008</v>
        <stp/>
        <stp>BDP|10231572697307070077|22</stp>
        <stp>ALASEEL AB Equity</stp>
        <stp>CHG_PCT_YTD_RT</stp>
        <tr r="F59" s="2"/>
      </tp>
      <tp>
        <v>-21.3065</v>
        <stp/>
        <stp>BDP|927546289679880628|22</stp>
        <stp>LEEJAM AB Equity</stp>
        <stp>CHG_PCT_YTD_RT</stp>
        <tr r="F71" s="2"/>
      </tp>
      <tp>
        <v>1.2939000129699707</v>
        <stp/>
        <stp>BDP|6007916767657538034|22</stp>
        <stp>NAQI AB Equity</stp>
        <stp>RT_PX_CHG_PCT_1D</stp>
        <tr r="D136" s="2"/>
      </tp>
      <tp>
        <v>6.46</v>
        <stp/>
        <stp>BDP|13580312389199120721|22</stp>
        <stp>ALAHLI AB Equity</stp>
        <stp>HIGH</stp>
        <tr r="M107" s="2"/>
      </tp>
      <tp>
        <v>7.41</v>
        <stp/>
        <stp>BDP|15776894557144510954|22</stp>
        <stp>NOFOTH AB Equity</stp>
        <stp>HIGH</stp>
        <tr r="M148" s="2"/>
      </tp>
      <tp t="s">
        <v>#N/A Requesting Data...3355623631</v>
        <stp/>
        <stp>BDP|4763671685099897374</stp>
        <tr r="T290" s="2"/>
      </tp>
      <tp t="s">
        <v>#N/A Requesting Data...1414602629</v>
        <stp/>
        <stp>BDP|1003613300446895133</stp>
        <tr r="U188" s="2"/>
      </tp>
      <tp t="s">
        <v>#N/A Requesting Data...1838264631</v>
        <stp/>
        <stp>BDP|3722343444974459091</stp>
        <tr r="H280" s="2"/>
      </tp>
      <tp t="s">
        <v>#N/A Requesting Data...4287524884</v>
        <stp/>
        <stp>BDP|4488095721705777311</stp>
        <tr r="H263" s="2"/>
      </tp>
      <tp t="s">
        <v>#N/A Requesting Data...1595231355</v>
        <stp/>
        <stp>BDP|4858102982145704879</stp>
        <tr r="O35" s="2"/>
      </tp>
      <tp t="s">
        <v>#N/A Requesting Data...1595837846</v>
        <stp/>
        <stp>BDP|3972310950936756359</stp>
        <tr r="I80" s="2"/>
      </tp>
      <tp t="s">
        <v>#N/A Requesting Data...3340736439</v>
        <stp/>
        <stp>BDP|4963752517541914385</stp>
        <tr r="I59" s="2"/>
      </tp>
      <tp t="s">
        <v>#N/A Requesting Data...3526514701</v>
        <stp/>
        <stp>BDP|9065972671912414594</stp>
        <tr r="O30" s="2"/>
      </tp>
      <tp t="s">
        <v>#N/A Requesting Data...1668694463</v>
        <stp/>
        <stp>BDP|8770067399785746449</stp>
        <tr r="S20" s="2"/>
      </tp>
      <tp t="s">
        <v>#N/A Requesting Data...1891570263</v>
        <stp/>
        <stp>BDP|3341461836484961016</stp>
        <tr r="O105" s="2"/>
      </tp>
      <tp t="s">
        <v>#N/A Requesting Data...3149697758</v>
        <stp/>
        <stp>BDP|5448373070226897734</stp>
        <tr r="O155" s="2"/>
      </tp>
      <tp t="s">
        <v>#N/A Requesting Data...2810679793</v>
        <stp/>
        <stp>BDP|3585000671411433581</stp>
        <tr r="U222" s="2"/>
      </tp>
      <tp t="s">
        <v>#N/A Requesting Data...3510619710</v>
        <stp/>
        <stp>BDP|9656384981852384040</stp>
        <tr r="I37" s="2"/>
      </tp>
      <tp t="s">
        <v>#N/A Requesting Data...2036188350</v>
        <stp/>
        <stp>BDP|5415418118606168649</stp>
        <tr r="S190" s="2"/>
      </tp>
      <tp t="s">
        <v>#N/A Requesting Data...3853738981</v>
        <stp/>
        <stp>BDP|7388070994437165999</stp>
        <tr r="H182" s="2"/>
      </tp>
      <tp t="s">
        <v>#N/A Requesting Data...2151755488</v>
        <stp/>
        <stp>BDP|6401665949283039733</stp>
        <tr r="X141" s="2"/>
      </tp>
      <tp t="s">
        <v>#N/A Requesting Data...1348053966</v>
        <stp/>
        <stp>BDP|2894257025566085419</stp>
        <tr r="P35" s="2"/>
      </tp>
      <tp t="s">
        <v>#N/A Requesting Data...1644098587</v>
        <stp/>
        <stp>BDP|3691387607361149114</stp>
        <tr r="I270" s="2"/>
      </tp>
      <tp t="s">
        <v>#N/A Requesting Data...2126742355</v>
        <stp/>
        <stp>BDP|8465805148586501208</stp>
        <tr r="O235" s="2"/>
      </tp>
      <tp t="s">
        <v>#N/A Requesting Data...3042229754</v>
        <stp/>
        <stp>BDP|1868356537121744045</stp>
        <tr r="X225" s="2"/>
      </tp>
      <tp t="s">
        <v>#N/A Requesting Data...4082323996</v>
        <stp/>
        <stp>BDP|8361337971298974411</stp>
        <tr r="I167" s="2"/>
      </tp>
      <tp t="s">
        <v>#N/A Requesting Data...3761701288</v>
        <stp/>
        <stp>BDP|4764163458655137514</stp>
        <tr r="P241" s="2"/>
      </tp>
      <tp t="s">
        <v>#N/A Requesting Data...3163122616</v>
        <stp/>
        <stp>BDP|1538186461752025454</stp>
        <tr r="H63" s="2"/>
      </tp>
      <tp t="s">
        <v>#N/A Requesting Data...2790213124</v>
        <stp/>
        <stp>BDP|3875434477487506700</stp>
        <tr r="O157" s="2"/>
      </tp>
      <tp t="s">
        <v>#N/A N/A</v>
        <stp/>
        <stp>BDH|9882903290228084111</stp>
        <tr r="V199" s="2"/>
      </tp>
      <tp t="s">
        <v>#N/A Requesting Data...4164311612</v>
        <stp/>
        <stp>BDP|4530137796808616487</stp>
        <tr r="I110" s="2"/>
      </tp>
      <tp t="s">
        <v>#N/A Requesting Data...3633390810</v>
        <stp/>
        <stp>BDP|4863044565556271457</stp>
        <tr r="H157" s="2"/>
      </tp>
      <tp t="s">
        <v>#N/A N/A</v>
        <stp/>
        <stp>BDH|8993689720258740487</stp>
        <tr r="V292" s="2"/>
      </tp>
      <tp>
        <v>-4.4046000000000003</v>
        <stp/>
        <stp>BDP|16874482551162141160|22</stp>
        <stp>AOTHAIM AB Equity</stp>
        <stp>CHG_PCT_YTD_RT</stp>
        <tr r="F82" s="2"/>
      </tp>
      <tp t="s">
        <v>#N/A Requesting Data...2404602413</v>
        <stp/>
        <stp>BDP|7811771171463591443</stp>
        <tr r="T167" s="2"/>
      </tp>
      <tp t="s">
        <v>#N/A Requesting Data...2964433491</v>
        <stp/>
        <stp>BDP|1995332026042230216</stp>
        <tr r="X251" s="2"/>
      </tp>
      <tp t="s">
        <v>#N/A Requesting Data...4211715209</v>
        <stp/>
        <stp>BDP|6206677952786093389</stp>
        <tr r="U227" s="2"/>
      </tp>
      <tp t="s">
        <v>#N/A Requesting Data...2546166429</v>
        <stp/>
        <stp>BDP|5934023246279117833</stp>
        <tr r="S201" s="2"/>
      </tp>
      <tp t="s">
        <v>#N/A Requesting Data...4109488888</v>
        <stp/>
        <stp>BDP|6185891331485337859</stp>
        <tr r="X86" s="2"/>
      </tp>
      <tp t="s">
        <v>#N/A Requesting Data...1907118808</v>
        <stp/>
        <stp>BDP|8429563809345596823</stp>
        <tr r="H96" s="2"/>
      </tp>
      <tp t="s">
        <v>#N/A Requesting Data...2930924494</v>
        <stp/>
        <stp>BDP|6308367758522944288</stp>
        <tr r="O178" s="2"/>
      </tp>
      <tp t="s">
        <v>#N/A Requesting Data...4137712681</v>
        <stp/>
        <stp>BDP|3339111863523549786</stp>
        <tr r="H161" s="2"/>
      </tp>
      <tp t="s">
        <v>#N/A Requesting Data...2870390411</v>
        <stp/>
        <stp>BDP|2318726229645465202</stp>
        <tr r="O31" s="2"/>
      </tp>
      <tp t="s">
        <v>#N/A Requesting Data...3973207923</v>
        <stp/>
        <stp>BDP|8749991102186091709</stp>
        <tr r="X92" s="2"/>
      </tp>
      <tp t="s">
        <v>#N/A Requesting Data...2155075600</v>
        <stp/>
        <stp>BDP|2761553554295820722</stp>
        <tr r="T265" s="2"/>
      </tp>
      <tp t="s">
        <v>#N/A Requesting Data...3274718261</v>
        <stp/>
        <stp>BDP|1217771538025687067</stp>
        <tr r="P62" s="2"/>
      </tp>
      <tp t="s">
        <v>#N/A Requesting Data...1514195128</v>
        <stp/>
        <stp>BDP|3716561412075996279</stp>
        <tr r="P207" s="2"/>
      </tp>
      <tp t="s">
        <v>#N/A Requesting Data...3474094158</v>
        <stp/>
        <stp>BDP|8421338051416389886</stp>
        <tr r="S237" s="2"/>
      </tp>
      <tp t="s">
        <v>#N/A Requesting Data...2077704817</v>
        <stp/>
        <stp>BDP|2087090972842664701</stp>
        <tr r="H73" s="2"/>
      </tp>
      <tp t="s">
        <v>#N/A Requesting Data...1823373434</v>
        <stp/>
        <stp>BDP|5648441255206307291</stp>
        <tr r="P176" s="2"/>
      </tp>
      <tp t="s">
        <v>#N/A Requesting Data...1623066488</v>
        <stp/>
        <stp>BDP|5349999209208851492</stp>
        <tr r="U105" s="2"/>
      </tp>
      <tp t="s">
        <v>#N/A Requesting Data...1592763742</v>
        <stp/>
        <stp>BDP|2375338703763548247</stp>
        <tr r="X223" s="2"/>
      </tp>
      <tp t="s">
        <v>#N/A Requesting Data...3036652196</v>
        <stp/>
        <stp>BDP|3712801253878666604</stp>
        <tr r="I143" s="2"/>
      </tp>
      <tp t="s">
        <v>#N/A Requesting Data...2597881319</v>
        <stp/>
        <stp>BDP|2160169836419644952</stp>
        <tr r="S38" s="2"/>
      </tp>
      <tp t="s">
        <v>#N/A Requesting Data...3056482815</v>
        <stp/>
        <stp>BDP|1847350178121448430</stp>
        <tr r="X255" s="2"/>
      </tp>
      <tp t="s">
        <v>#N/A Requesting Data...2814306784</v>
        <stp/>
        <stp>BDP|8329588123427270888</stp>
        <tr r="H180" s="2"/>
      </tp>
      <tp t="s">
        <v>#N/A Requesting Data...3116705076</v>
        <stp/>
        <stp>BDP|6007726604550750135</stp>
        <tr r="X231" s="2"/>
      </tp>
      <tp t="s">
        <v>#N/A Requesting Data...1955318320</v>
        <stp/>
        <stp>BDP|2709484835496808305</stp>
        <tr r="O292" s="2"/>
      </tp>
      <tp t="s">
        <v>#N/A Requesting Data...2660822884</v>
        <stp/>
        <stp>BDP|4091063541204577408</stp>
        <tr r="I127" s="2"/>
      </tp>
      <tp t="s">
        <v>#N/A Requesting Data...1496854970</v>
        <stp/>
        <stp>BDP|3361609666143057063</stp>
        <tr r="P6" s="2"/>
      </tp>
      <tp t="s">
        <v>#N/A Requesting Data...2403177198</v>
        <stp/>
        <stp>BDP|5832448680081838873</stp>
        <tr r="H84" s="2"/>
      </tp>
      <tp t="s">
        <v>#N/A Requesting Data...4143625177</v>
        <stp/>
        <stp>BDP|4717063344053271346</stp>
        <tr r="S17" s="2"/>
      </tp>
      <tp t="s">
        <v>#N/A Requesting Data...3256642921</v>
        <stp/>
        <stp>BDP|6756541969136943302</stp>
        <tr r="I210" s="2"/>
      </tp>
      <tp t="s">
        <v>#N/A Requesting Data...2588651197</v>
        <stp/>
        <stp>BDP|2417759427961778623</stp>
        <tr r="X21" s="2"/>
      </tp>
      <tp t="s">
        <v>#N/A Requesting Data...2129987185</v>
        <stp/>
        <stp>BDP|4658207011673154456</stp>
        <tr r="T84" s="2"/>
      </tp>
      <tp t="s">
        <v>#N/A Requesting Data...1706706662</v>
        <stp/>
        <stp>BDP|7216947138639900478</stp>
        <tr r="T132" s="2"/>
      </tp>
      <tp t="s">
        <v>#N/A Requesting Data...2906597183</v>
        <stp/>
        <stp>BDP|3784265263713008421</stp>
        <tr r="P133" s="2"/>
      </tp>
      <tp t="s">
        <v>#N/A Requesting Data...1764811168</v>
        <stp/>
        <stp>BDP|3500130857762102509</stp>
        <tr r="U156" s="2"/>
      </tp>
      <tp t="s">
        <v>#N/A Requesting Data...2568265347</v>
        <stp/>
        <stp>BDP|7184590154146482180</stp>
        <tr r="P228" s="2"/>
      </tp>
      <tp t="s">
        <v>#N/A Requesting Data...4292908139</v>
        <stp/>
        <stp>BDP|2149062825616209603</stp>
        <tr r="S276" s="2"/>
      </tp>
      <tp t="s">
        <v>#N/A N/A</v>
        <stp/>
        <stp>BDH|9026150714440345921</stp>
        <tr r="V198" s="2"/>
      </tp>
      <tp t="s">
        <v>#N/A Requesting Data...2172965102</v>
        <stp/>
        <stp>BDP|5853878052698959057</stp>
        <tr r="S216" s="2"/>
      </tp>
      <tp t="s">
        <v>#N/A Requesting Data...4281372685</v>
        <stp/>
        <stp>BDP|7590595105670059283</stp>
        <tr r="U47" s="2"/>
      </tp>
      <tp t="s">
        <v>#N/A Requesting Data...3894094365</v>
        <stp/>
        <stp>BDP|5008073264851539278</stp>
        <tr r="U86" s="2"/>
      </tp>
      <tp t="s">
        <v>#N/A Requesting Data...2262518670</v>
        <stp/>
        <stp>BDP|6367273352283727206</stp>
        <tr r="P199" s="2"/>
      </tp>
      <tp t="s">
        <v>#N/A Requesting Data...2139527470</v>
        <stp/>
        <stp>BDP|3881329556546557387</stp>
        <tr r="H218" s="2"/>
      </tp>
      <tp t="s">
        <v>#N/A Requesting Data...2879462500</v>
        <stp/>
        <stp>BDP|8905588379069834362</stp>
        <tr r="I96" s="2"/>
      </tp>
      <tp t="s">
        <v>#N/A Requesting Data...1497010913</v>
        <stp/>
        <stp>BDP|2490576995776608861</stp>
        <tr r="X99" s="2"/>
      </tp>
      <tp t="s">
        <v>#N/A Requesting Data...2884946911</v>
        <stp/>
        <stp>BDP|9251862064582000569</stp>
        <tr r="T260" s="2"/>
      </tp>
      <tp t="s">
        <v>#N/A Requesting Data...3804593610</v>
        <stp/>
        <stp>BDP|6756050827384516064</stp>
        <tr r="X7" s="2"/>
      </tp>
      <tp t="s">
        <v>#N/A Requesting Data...2026515298</v>
        <stp/>
        <stp>BDP|7979644368192265513</stp>
        <tr r="X81" s="2"/>
      </tp>
      <tp t="s">
        <v>#N/A Requesting Data...1829937334</v>
        <stp/>
        <stp>BDP|5820965988662049603</stp>
        <tr r="T166" s="2"/>
      </tp>
      <tp t="s">
        <v>#N/A Requesting Data...3346610379</v>
        <stp/>
        <stp>BDP|1542146935505529673</stp>
        <tr r="P118" s="2"/>
      </tp>
      <tp t="s">
        <v>#N/A Requesting Data...3654456009</v>
        <stp/>
        <stp>BDP|6299175641103477072</stp>
        <tr r="U57" s="2"/>
      </tp>
      <tp t="s">
        <v>#N/A Requesting Data...3814072459</v>
        <stp/>
        <stp>BDP|1842033129765298673</stp>
        <tr r="H224" s="2"/>
      </tp>
      <tp t="s">
        <v>#N/A Requesting Data...3874064156</v>
        <stp/>
        <stp>BDP|6781243030305559210</stp>
        <tr r="S181" s="2"/>
      </tp>
      <tp t="s">
        <v>#N/A N/A</v>
        <stp/>
        <stp>BDH|4391842809954975804</stp>
        <tr r="V92" s="2"/>
      </tp>
      <tp t="s">
        <v>#N/A N/A</v>
        <stp/>
        <stp>BDH|4063138246235536476</stp>
        <tr r="V277" s="2"/>
      </tp>
      <tp t="s">
        <v>#N/A Requesting Data...2449922145</v>
        <stp/>
        <stp>BDP|6646509451621114721</stp>
        <tr r="S110" s="2"/>
      </tp>
      <tp t="s">
        <v>#N/A Requesting Data...3832783786</v>
        <stp/>
        <stp>BDP|5197486559283148753</stp>
        <tr r="H286" s="2"/>
      </tp>
      <tp t="s">
        <v>#N/A Requesting Data...4131951593</v>
        <stp/>
        <stp>BDP|2504216597911633811</stp>
        <tr r="S104" s="2"/>
      </tp>
      <tp t="s">
        <v>#N/A Requesting Data...1375096439</v>
        <stp/>
        <stp>BDP|2984874481524803635</stp>
        <tr r="I170" s="2"/>
      </tp>
      <tp t="s">
        <v>#N/A Requesting Data...4050403287</v>
        <stp/>
        <stp>BDP|8797605336935326861</stp>
        <tr r="I135" s="2"/>
      </tp>
      <tp t="s">
        <v>#N/A Requesting Data...4252343571</v>
        <stp/>
        <stp>BDP|6407238025290595635</stp>
        <tr r="T158" s="2"/>
      </tp>
      <tp t="s">
        <v>#N/A N/A</v>
        <stp/>
        <stp>BDH|7617788346814429084</stp>
        <tr r="V212" s="2"/>
      </tp>
      <tp t="s">
        <v>#N/A Requesting Data...3351888403</v>
        <stp/>
        <stp>BDP|4397534164353362423</stp>
        <tr r="X135" s="2"/>
      </tp>
      <tp t="s">
        <v>#N/A Requesting Data...2848382849</v>
        <stp/>
        <stp>BDP|3718326507070543028</stp>
        <tr r="S117" s="2"/>
      </tp>
      <tp t="s">
        <v>#N/A Requesting Data...3750110113</v>
        <stp/>
        <stp>BDP|3203396254911814423</stp>
        <tr r="U10" s="2"/>
      </tp>
      <tp t="s">
        <v>#N/A Requesting Data...2163280313</v>
        <stp/>
        <stp>BDP|8311834234917184408</stp>
        <tr r="X288" s="2"/>
      </tp>
      <tp t="s">
        <v>#N/A Requesting Data...2966949129</v>
        <stp/>
        <stp>BDP|5284656140596726155</stp>
        <tr r="T114" s="2"/>
      </tp>
      <tp>
        <v>-3.431</v>
        <stp/>
        <stp>BDP|5296607498201944587|22</stp>
        <stp>ALHAMMAD AB Equity</stp>
        <stp>CHG_PCT_YTD_RT</stp>
        <tr r="F159" s="2"/>
      </tp>
      <tp>
        <v>22.04</v>
        <stp/>
        <stp>BDP|13283620464864515574|22</stp>
        <stp>DERAYAH AB Equity</stp>
        <stp>OPEN</stp>
        <tr r="K116" s="2"/>
      </tp>
      <tp>
        <v>56.15</v>
        <stp/>
        <stp>BDP|12111223983196084442|22</stp>
        <stp>TANMIAH AB Equity</stp>
        <stp>OPEN</stp>
        <tr r="K146" s="2"/>
      </tp>
      <tp>
        <v>69291</v>
        <stp/>
        <stp>BDP|8440909751565312992|22</stp>
        <stp>ARABIANM AB Equity</stp>
        <stp>VOLUME</stp>
        <tr r="J138" s="2"/>
      </tp>
      <tp>
        <v>14.85</v>
        <stp/>
        <stp>BDP|5735874381732575937|22</stp>
        <stp>NGCO AB Equity</stp>
        <stp>LAST_PRICE</stp>
        <tr r="C199" s="2"/>
        <tr r="B199" s="2"/>
      </tp>
      <tp>
        <v>35.32</v>
        <stp/>
        <stp>BDP|4195699517672402178|22</stp>
        <stp>UIHC AB Equity</stp>
        <stp>LAST_PRICE</stp>
        <tr r="B119" s="2"/>
        <tr r="C119" s="2"/>
      </tp>
      <tp>
        <v>3.59</v>
        <stp/>
        <stp>BDP|2895989646522907897|22</stp>
        <stp>ARABSEA AB Equity</stp>
        <stp>LAST_PRICE</stp>
        <tr r="C272" s="2"/>
        <tr r="B272" s="2"/>
      </tp>
      <tp>
        <v>434530</v>
        <stp/>
        <stp>BDP|9880779009826438367|22</stp>
        <stp>NMMCC AB Equity</stp>
        <stp>VOLUME</stp>
        <tr r="J195" s="2"/>
      </tp>
      <tp>
        <v>0.21879999339580536</v>
        <stp/>
        <stp>BDP|17769866452798521156|22</stp>
        <stp>ELM AB Equity</stp>
        <stp>RT_PX_CHG_PCT_1D</stp>
        <tr r="D269" s="2"/>
      </tp>
      <tp>
        <v>0.11069999635219574</v>
        <stp/>
        <stp>BDP|17837447921493700953|22</stp>
        <stp>NIC AB Equity</stp>
        <stp>RT_PX_CHG_PCT_1D</stp>
        <tr r="D224" s="2"/>
      </tp>
      <tp>
        <v>158226</v>
        <stp/>
        <stp>BDP|7401860673055788955|22</stp>
        <stp>SOCCO AB Equity</stp>
        <stp>VOLUME</stp>
        <tr r="J200" s="2"/>
      </tp>
      <tp>
        <v>-38.0319</v>
        <stp/>
        <stp>BDP|7533171553256082461|22</stp>
        <stp>THEEB AB Equity</stp>
        <stp>CHG_PCT_YTD_RT</stp>
        <tr r="F286" s="2"/>
      </tp>
      <tp>
        <v>23.34</v>
        <stp/>
        <stp>BDP|12361210521557576735|22</stp>
        <stp>SCH AB Equity</stp>
        <stp>YEST_LAST_TRADE</stp>
        <tr r="G47" s="2"/>
      </tp>
      <tp>
        <v>2.760699987411499</v>
        <stp/>
        <stp>BDP|13489948130806584113|22</stp>
        <stp>UCA AB Equity</stp>
        <stp>RT_PX_CHG_PCT_1D</stp>
        <tr r="D181" s="2"/>
      </tp>
      <tp>
        <v>9.3486999999999991</v>
        <stp/>
        <stp>BDP|7926974165074624327|22</stp>
        <stp>RAOOM AB Equity</stp>
        <stp>CHG_PCT_YTD_RT</stp>
        <tr r="F19" s="2"/>
      </tp>
      <tp>
        <v>71.565100000000001</v>
        <stp/>
        <stp>BDP|1844223067487680339|22</stp>
        <stp>RESEARCH AB Equity</stp>
        <stp>VWAP</stp>
        <tr r="N242" s="2"/>
      </tp>
      <tp>
        <v>8.07</v>
        <stp/>
        <stp>BDP|10505774771537640387|22</stp>
        <stp>CHEMICAL AB Equity</stp>
        <stp>LOW</stp>
        <tr r="L154" s="2"/>
      </tp>
      <tp>
        <v>7.1</v>
        <stp/>
        <stp>BDP|7876611731356132337|22</stp>
        <stp>SPORTCLU AB Equity</stp>
        <stp>HIGH</stp>
        <tr r="M67" s="2"/>
      </tp>
      <tp>
        <v>27.02</v>
        <stp/>
        <stp>BDP|18213034751723900464|22</stp>
        <stp>ALHAMMAD AB Equity</stp>
        <stp>LOW</stp>
        <tr r="L159" s="2"/>
      </tp>
      <tp>
        <v>5.72</v>
        <stp/>
        <stp>BDP|16465252806646157257|22</stp>
        <stp>ALKHABEE AB Equity</stp>
        <stp>BID</stp>
        <tr r="Q110" s="2"/>
      </tp>
      <tp>
        <v>8.8699999999999992</v>
        <stp/>
        <stp>BDP|12174217349265730073|22</stp>
        <stp>CHEMANOL AB Equity</stp>
        <stp>LOW</stp>
        <tr r="L234" s="2"/>
      </tp>
      <tp>
        <v>5.68</v>
        <stp/>
        <stp>BDP|1400037529796419407|22</stp>
        <stp>DERAYAHR AB Equity</stp>
        <stp>OPEN</stp>
        <tr r="K104" s="2"/>
      </tp>
      <tp>
        <v>5.74</v>
        <stp/>
        <stp>BDP|3388300591658889277|22</stp>
        <stp>ALKHABEE AB Equity</stp>
        <stp>HIGH</stp>
        <tr r="M110" s="2"/>
      </tp>
      <tp>
        <v>2.8111999034881592</v>
        <stp/>
        <stp>BDP|8596004188989290707|22</stp>
        <stp>MEPC AB Equity</stp>
        <stp>RT_PX_CHG_PCT_1D</stp>
        <tr r="D197" s="2"/>
      </tp>
      <tp>
        <v>1.396399974822998</v>
        <stp/>
        <stp>BDP|3262206498035140525|22</stp>
        <stp>GACO AB Equity</stp>
        <stp>RT_PX_CHG_PCT_1D</stp>
        <tr r="D142" s="2"/>
      </tp>
      <tp>
        <v>35386</v>
        <stp/>
        <stp>BDP|16840238858262597604|22</stp>
        <stp>TAMKEEN AB Equity</stp>
        <stp>VOLUME</stp>
        <tr r="J36" s="2"/>
      </tp>
      <tp>
        <v>-0.99370000000000003</v>
        <stp/>
        <stp>BDP|684273496486480476|22</stp>
        <stp>NAQI AB Equity</stp>
        <stp>CHG_PCT_YTD_RT</stp>
        <tr r="F136" s="2"/>
      </tp>
      <tp>
        <v>474293</v>
        <stp/>
        <stp>BDP|14740573024470636472|22</stp>
        <stp>KINGDOM AB Equity</stp>
        <stp>VOLUME</stp>
        <tr r="J125" s="2"/>
      </tp>
      <tp t="s">
        <v>#N/A Requesting Data...3882263195</v>
        <stp/>
        <stp>BDP|5802102173975384728</stp>
        <tr r="H250" s="2"/>
      </tp>
      <tp t="s">
        <v>#N/A Requesting Data...1637888848</v>
        <stp/>
        <stp>BDP|3571825578109364469</stp>
        <tr r="U82" s="2"/>
      </tp>
      <tp t="s">
        <v>#N/A Requesting Data...1384655764</v>
        <stp/>
        <stp>BDP|5280885124557476900</stp>
        <tr r="T204" s="2"/>
      </tp>
      <tp t="s">
        <v>#N/A Requesting Data...2314145566</v>
        <stp/>
        <stp>BDP|4199334076320880169</stp>
        <tr r="I215" s="2"/>
      </tp>
      <tp t="s">
        <v>#N/A Requesting Data...4275640310</v>
        <stp/>
        <stp>BDP|4826513734265267656</stp>
        <tr r="H18" s="2"/>
      </tp>
      <tp t="s">
        <v>#N/A Requesting Data...2971306854</v>
        <stp/>
        <stp>BDP|7905586131207877720</stp>
        <tr r="X28" s="2"/>
      </tp>
      <tp t="s">
        <v>#N/A Requesting Data...3770544118</v>
        <stp/>
        <stp>BDP|3654772849069133833</stp>
        <tr r="O274" s="2"/>
      </tp>
      <tp t="s">
        <v>#N/A Requesting Data...3731216746</v>
        <stp/>
        <stp>BDP|2088042452546800049</stp>
        <tr r="P86" s="2"/>
      </tp>
      <tp t="s">
        <v>#N/A Requesting Data...2338684646</v>
        <stp/>
        <stp>BDP|6251331313567081298</stp>
        <tr r="X77" s="2"/>
      </tp>
      <tp t="s">
        <v>#N/A Requesting Data...1465481182</v>
        <stp/>
        <stp>BDP|2239886569104933917</stp>
        <tr r="U151" s="2"/>
      </tp>
      <tp t="s">
        <v>#N/A Requesting Data...2863699531</v>
        <stp/>
        <stp>BDP|4309109961932984033</stp>
        <tr r="H184" s="2"/>
      </tp>
      <tp t="s">
        <v>#N/A Requesting Data...3580133755</v>
        <stp/>
        <stp>BDP|2832682632217363198</stp>
        <tr r="S209" s="2"/>
      </tp>
      <tp t="s">
        <v>#N/A Requesting Data...1930841010</v>
        <stp/>
        <stp>BDP|4811085069973762065</stp>
        <tr r="S42" s="2"/>
      </tp>
      <tp t="s">
        <v>#N/A Requesting Data...2881109759</v>
        <stp/>
        <stp>BDP|3466249315015969447</stp>
        <tr r="P15" s="2"/>
      </tp>
      <tp t="s">
        <v>#N/A Requesting Data...4211258169</v>
        <stp/>
        <stp>BDP|7231422842820898621</stp>
        <tr r="S80" s="2"/>
      </tp>
      <tp t="s">
        <v>#N/A Requesting Data...1428296218</v>
        <stp/>
        <stp>BDP|9629981556975073108</stp>
        <tr r="I160" s="2"/>
      </tp>
      <tp t="s">
        <v>#N/A Requesting Data...3605120305</v>
        <stp/>
        <stp>BDP|7389967116948972627</stp>
        <tr r="H288" s="2"/>
      </tp>
      <tp t="s">
        <v>#N/A N/A</v>
        <stp/>
        <stp>BDH|5441515833962997075</stp>
        <tr r="V75" s="2"/>
      </tp>
      <tp t="s">
        <v>#N/A Requesting Data...2193713632</v>
        <stp/>
        <stp>BDP|5395392137711542512</stp>
        <tr r="U142" s="2"/>
      </tp>
      <tp t="s">
        <v>#N/A Requesting Data...4253447832</v>
        <stp/>
        <stp>BDP|1736185304126591772</stp>
        <tr r="P143" s="2"/>
      </tp>
      <tp t="s">
        <v>#N/A Requesting Data...1972763042</v>
        <stp/>
        <stp>BDP|7641513529867220653</stp>
        <tr r="P43" s="2"/>
      </tp>
      <tp t="s">
        <v>#N/A Requesting Data...3337199975</v>
        <stp/>
        <stp>BDP|1438206527724349497</stp>
        <tr r="I116" s="2"/>
      </tp>
      <tp t="s">
        <v>#N/A Requesting Data...4289169566</v>
        <stp/>
        <stp>BDP|4688854117999877556</stp>
        <tr r="O263" s="2"/>
      </tp>
      <tp t="s">
        <v>#N/A Requesting Data...1441998983</v>
        <stp/>
        <stp>BDP|6869692141102085799</stp>
        <tr r="P167" s="2"/>
      </tp>
      <tp t="s">
        <v>#N/A N/A</v>
        <stp/>
        <stp>BDH|7909799638455916783</stp>
        <tr r="V267" s="2"/>
      </tp>
      <tp t="s">
        <v>#N/A Requesting Data...2221393007</v>
        <stp/>
        <stp>BDP|8901177383861728144</stp>
        <tr r="I263" s="2"/>
      </tp>
      <tp t="s">
        <v>#N/A Requesting Data...3648585053</v>
        <stp/>
        <stp>BDP|2255402149102507108</stp>
        <tr r="T193" s="2"/>
      </tp>
      <tp t="s">
        <v>#N/A Requesting Data...3328707259</v>
        <stp/>
        <stp>BDP|9183079549328772461</stp>
        <tr r="T40" s="2"/>
      </tp>
      <tp t="s">
        <v>#N/A Requesting Data...1887219151</v>
        <stp/>
        <stp>BDP|4307470826186930556</stp>
        <tr r="H55" s="2"/>
      </tp>
      <tp>
        <v>-2.5438999999999998</v>
        <stp/>
        <stp>BDP|16175156403025218454|22</stp>
        <stp>LAZURDE AB Equity</stp>
        <stp>CHG_PCT_YTD_RT</stp>
        <tr r="F57" s="2"/>
      </tp>
      <tp t="s">
        <v>#N/A Requesting Data...3467637681</v>
        <stp/>
        <stp>BDP|1287382057941623748</stp>
        <tr r="P269" s="2"/>
      </tp>
      <tp t="s">
        <v>#N/A Requesting Data...3091776748</v>
        <stp/>
        <stp>BDP|8361772259509015221</stp>
        <tr r="P237" s="2"/>
      </tp>
      <tp t="s">
        <v>#N/A Requesting Data...2111140825</v>
        <stp/>
        <stp>BDP|9717037225918693283</stp>
        <tr r="O77" s="2"/>
      </tp>
      <tp>
        <v>2.0027000904083252</v>
        <stp/>
        <stp>BDP|7074196163398873607|22</stp>
        <stp>MRNA AB Equity</stp>
        <stp>RT_PX_CHG_PCT_1D</stp>
        <tr r="D124" s="2"/>
      </tp>
      <tp t="s">
        <v>#N/A Requesting Data...1578041756</v>
        <stp/>
        <stp>BDP|1632915489335293405</stp>
        <tr r="P111" s="2"/>
      </tp>
      <tp t="s">
        <v>#N/A Requesting Data...1524139051</v>
        <stp/>
        <stp>BDP|8333122858048526509</stp>
        <tr r="H76" s="2"/>
      </tp>
      <tp t="s">
        <v>#N/A Requesting Data...3452051415</v>
        <stp/>
        <stp>BDP|3894524336614133000</stp>
        <tr r="P110" s="2"/>
      </tp>
      <tp t="s">
        <v>#N/A Requesting Data...1805809090</v>
        <stp/>
        <stp>BDP|5437628488723240913</stp>
        <tr r="S243" s="2"/>
      </tp>
      <tp t="s">
        <v>#N/A Requesting Data...1990314496</v>
        <stp/>
        <stp>BDP|4540193243566027622</stp>
        <tr r="X208" s="2"/>
      </tp>
      <tp t="s">
        <v>#N/A Requesting Data...3157017026</v>
        <stp/>
        <stp>BDP|5886258133266705347</stp>
        <tr r="I86" s="2"/>
      </tp>
      <tp t="s">
        <v>#N/A Requesting Data...2415549609</v>
        <stp/>
        <stp>BDP|9677435563459964325</stp>
        <tr r="O210" s="2"/>
      </tp>
      <tp t="s">
        <v>#N/A Requesting Data...2241393681</v>
        <stp/>
        <stp>BDP|1875515264097556452</stp>
        <tr r="I104" s="2"/>
      </tp>
      <tp t="s">
        <v>#N/A Requesting Data...4211181833</v>
        <stp/>
        <stp>BDP|6085335444164069456</stp>
        <tr r="O133" s="2"/>
      </tp>
      <tp t="s">
        <v>#N/A Requesting Data...4053504878</v>
        <stp/>
        <stp>BDP|4829459114674810430</stp>
        <tr r="I38" s="2"/>
      </tp>
      <tp t="s">
        <v>#N/A Requesting Data...3413987276</v>
        <stp/>
        <stp>BDP|8018198262468104681</stp>
        <tr r="S85" s="2"/>
      </tp>
      <tp t="s">
        <v>#N/A Requesting Data...3279140176</v>
        <stp/>
        <stp>BDP|7490558235304340454</stp>
        <tr r="P172" s="2"/>
      </tp>
      <tp t="s">
        <v>#N/A Requesting Data...2240399457</v>
        <stp/>
        <stp>BDP|2136855767884379938</stp>
        <tr r="T279" s="2"/>
      </tp>
      <tp t="s">
        <v>#N/A Requesting Data...3125421113</v>
        <stp/>
        <stp>BDP|1267125506733059250</stp>
        <tr r="T103" s="2"/>
      </tp>
      <tp t="s">
        <v>#N/A N/A</v>
        <stp/>
        <stp>BDH|2728452901250228725</stp>
        <tr r="V281" s="2"/>
      </tp>
      <tp t="s">
        <v>#N/A Requesting Data...3490633864</v>
        <stp/>
        <stp>BDP|7130489761081019587</stp>
        <tr r="X18" s="2"/>
      </tp>
      <tp t="s">
        <v>#N/A Requesting Data...3039283734</v>
        <stp/>
        <stp>BDP|8580505961672147851</stp>
        <tr r="T116" s="2"/>
      </tp>
      <tp t="s">
        <v>#N/A Requesting Data...3533017613</v>
        <stp/>
        <stp>BDP|3327896959129597662</stp>
        <tr r="X39" s="2"/>
      </tp>
      <tp t="s">
        <v>#N/A Requesting Data...1755946660</v>
        <stp/>
        <stp>BDP|6661172926133628708</stp>
        <tr r="S102" s="2"/>
      </tp>
      <tp t="s">
        <v>#N/A Requesting Data...2174189660</v>
        <stp/>
        <stp>BDP|9536496173299894261</stp>
        <tr r="U48" s="2"/>
      </tp>
      <tp t="s">
        <v>#N/A Requesting Data...4143113838</v>
        <stp/>
        <stp>BDP|9084727494312756407</stp>
        <tr r="X34" s="2"/>
      </tp>
      <tp t="s">
        <v>#N/A N/A</v>
        <stp/>
        <stp>BDH|1645543804366171360</stp>
        <tr r="V250" s="2"/>
      </tp>
      <tp t="s">
        <v>#N/A Requesting Data...1611450221</v>
        <stp/>
        <stp>BDP|3321766054516205652</stp>
        <tr r="H104" s="2"/>
      </tp>
      <tp t="s">
        <v>#N/A Requesting Data...2181343384</v>
        <stp/>
        <stp>BDP|4174407917428518856</stp>
        <tr r="U122" s="2"/>
      </tp>
      <tp t="s">
        <v>#N/A Requesting Data...1670917773</v>
        <stp/>
        <stp>BDP|6344383956744913525</stp>
        <tr r="X70" s="2"/>
      </tp>
      <tp t="s">
        <v>#N/A N/A</v>
        <stp/>
        <stp>BDH|3753378702471709033</stp>
        <tr r="V187" s="2"/>
      </tp>
      <tp>
        <v>-2.238800048828125</v>
        <stp/>
        <stp>BDP|2485289273717965776|22</stp>
        <stp>APCO AB Equity</stp>
        <stp>RT_PX_CHG_PCT_1D</stp>
        <tr r="D192" s="2"/>
      </tp>
      <tp t="s">
        <v>#N/A Requesting Data...2584887470</v>
        <stp/>
        <stp>BDP|3028860800972666873</stp>
        <tr r="H62" s="2"/>
      </tp>
      <tp t="s">
        <v>#N/A Requesting Data...1701621087</v>
        <stp/>
        <stp>BDP|5657348113831033764</stp>
        <tr r="O217" s="2"/>
      </tp>
      <tp t="s">
        <v>#N/A Requesting Data...3612979228</v>
        <stp/>
        <stp>BDP|5917252359661279200</stp>
        <tr r="P288" s="2"/>
      </tp>
      <tp t="s">
        <v>#N/A Requesting Data...3616478160</v>
        <stp/>
        <stp>BDP|4314983549100147842</stp>
        <tr r="P106" s="2"/>
      </tp>
      <tp t="s">
        <v>#N/A Requesting Data...3408347393</v>
        <stp/>
        <stp>BDP|3579521006024186347</stp>
        <tr r="S239" s="2"/>
      </tp>
      <tp t="s">
        <v>#N/A Requesting Data...3654435177</v>
        <stp/>
        <stp>BDP|2772979771769072452</stp>
        <tr r="U161" s="2"/>
      </tp>
      <tp t="s">
        <v>#N/A Requesting Data...2744096174</v>
        <stp/>
        <stp>BDP|6163512696913154837</stp>
        <tr r="U117" s="2"/>
      </tp>
      <tp t="s">
        <v>#N/A Requesting Data...2490810297</v>
        <stp/>
        <stp>BDP|7862514533921620187</stp>
        <tr r="P212" s="2"/>
      </tp>
      <tp t="s">
        <v>#N/A Requesting Data...3862599486</v>
        <stp/>
        <stp>BDP|1177438312917500217</stp>
        <tr r="X206" s="2"/>
      </tp>
      <tp t="s">
        <v>#N/A Requesting Data...2678400055</v>
        <stp/>
        <stp>BDP|6466175602234178244</stp>
        <tr r="H36" s="2"/>
      </tp>
      <tp t="s">
        <v>#N/A Requesting Data...2631319110</v>
        <stp/>
        <stp>BDP|1259014265212258401</stp>
        <tr r="T96" s="2"/>
      </tp>
      <tp t="s">
        <v>#N/A N/A</v>
        <stp/>
        <stp>BDH|3312026276036591362</stp>
        <tr r="V169" s="2"/>
      </tp>
      <tp t="s">
        <v>#N/A Requesting Data...3983688215</v>
        <stp/>
        <stp>BDP|5245105470800125260</stp>
        <tr r="X261" s="2"/>
      </tp>
      <tp t="s">
        <v>#N/A Requesting Data...2149649299</v>
        <stp/>
        <stp>BDP|4001579878873287483</stp>
        <tr r="P120" s="2"/>
      </tp>
      <tp t="s">
        <v>#N/A Requesting Data...4285076298</v>
        <stp/>
        <stp>BDP|6100121665811270113</stp>
        <tr r="H28" s="2"/>
      </tp>
      <tp t="s">
        <v>#N/A Requesting Data...2472065568</v>
        <stp/>
        <stp>BDP|4400032997059783526</stp>
        <tr r="T267" s="2"/>
      </tp>
      <tp t="s">
        <v>#N/A Requesting Data...3836449379</v>
        <stp/>
        <stp>BDP|8478527081164512070</stp>
        <tr r="O271" s="2"/>
      </tp>
      <tp t="s">
        <v>#N/A Requesting Data...3254686810</v>
        <stp/>
        <stp>BDP|6511402517957680511</stp>
        <tr r="X4" s="2"/>
      </tp>
      <tp t="s">
        <v>#N/A Requesting Data...3997077365</v>
        <stp/>
        <stp>BDP|6962086103666795108</stp>
        <tr r="T199" s="2"/>
      </tp>
      <tp>
        <v>132.4</v>
        <stp/>
        <stp>BDP|3640440742166113038|22</stp>
        <stp>ASTRA AB Equity</stp>
        <stp>YEST_LAST_TRADE</stp>
        <tr r="G27" s="2"/>
      </tp>
      <tp>
        <v>8.1920000000000002</v>
        <stp/>
        <stp>BDP|14504545091642881288|22</stp>
        <stp>ALRAJHI AB Equity</stp>
        <stp>VWAP</stp>
        <tr r="N98" s="2"/>
      </tp>
      <tp>
        <v>-9.0245999999999995</v>
        <stp/>
        <stp>BDP|7007245608272693501|22</stp>
        <stp>DWF AB Equity</stp>
        <stp>CHG_PCT_YTD_RT</stp>
        <tr r="F70" s="2"/>
      </tp>
      <tp>
        <v>23.699000000000002</v>
        <stp/>
        <stp>BDP|1892084567468784847|22</stp>
        <stp>ALMUNAJE AB Equity</stp>
        <stp>CHG_PCT_YTD_RT</stp>
        <tr r="F87" s="2"/>
      </tp>
      <tp>
        <v>-5.7333999999999996</v>
        <stp/>
        <stp>BDP|4294255565363749045|22</stp>
        <stp>NMMCC AB Equity</stp>
        <stp>CHG_PCT_YTD_RT</stp>
        <tr r="F195" s="2"/>
      </tp>
      <tp>
        <v>-1.7291000000000001</v>
        <stp/>
        <stp>BDP|9517448601119683514|22</stp>
        <stp>MEFIC AB Equity</stp>
        <stp>CHG_PCT_YTD_RT</stp>
        <tr r="F108" s="2"/>
      </tp>
      <tp>
        <v>109129</v>
        <stp/>
        <stp>BDP|2060771396846930582|22</stp>
        <stp>ASLAK AB Equity</stp>
        <stp>VOLUME</stp>
        <tr r="J219" s="2"/>
      </tp>
      <tp>
        <v>-9.8539999999999992</v>
        <stp/>
        <stp>BDP|9988710666280530647|22</stp>
        <stp>AHFCO AB Equity</stp>
        <stp>CHG_PCT_YTD_RT</stp>
        <tr r="F60" s="2"/>
      </tp>
      <tp>
        <v>33.390900000000002</v>
        <stp/>
        <stp>BDP|8844579436003529673|22</stp>
        <stp>RASAN AB Equity</stp>
        <stp>CHG_PCT_YTD_RT</stp>
        <tr r="F189" s="2"/>
      </tp>
      <tp>
        <v>2.9477000000000002</v>
        <stp/>
        <stp>BDP|1944876167626440099|22</stp>
        <stp>SASEIDX Index</stp>
        <stp>CHG_PCT_YTD_RT</stp>
        <tr r="F2" s="2"/>
      </tp>
      <tp>
        <v>5.05</v>
        <stp/>
        <stp>BDP|14809618234947336906|22</stp>
        <stp>RYDREIT AB Equity</stp>
        <stp>ASK</stp>
        <tr r="R111" s="2"/>
      </tp>
      <tp>
        <v>45</v>
        <stp/>
        <stp>BDP|16096406541201073104|22</stp>
        <stp>SACO AB Equity</stp>
        <stp>YEST_LAST_TRADE</stp>
        <tr r="G45" s="2"/>
      </tp>
      <tp t="s">
        <v>#N/A N/A</v>
        <stp/>
        <stp>BDH|48228077760841983</stp>
        <tr r="V259" s="2"/>
      </tp>
      <tp>
        <v>107528</v>
        <stp/>
        <stp>BDP|15990026770268068709|22</stp>
        <stp>CHERRY AB Equity</stp>
        <stp>VOLUME</stp>
        <tr r="J53" s="2"/>
      </tp>
      <tp>
        <v>1035523</v>
        <stp/>
        <stp>BDP|15364122386027083588|22</stp>
        <stp>SALAMA AB Equity</stp>
        <stp>VOLUME</stp>
        <tr r="J172" s="2"/>
      </tp>
      <tp>
        <v>37.26</v>
        <stp/>
        <stp>BDP|3468505794298705626|22</stp>
        <stp>FAKEEHCA AB Equity</stp>
        <stp>HIGH</stp>
        <tr r="M157" s="2"/>
      </tp>
      <tp>
        <v>805890</v>
        <stp/>
        <stp>BDP|13880814913427327815|22</stp>
        <stp>NICEONE AB Equity</stp>
        <stp>VOLUME</stp>
        <tr r="J42" s="2"/>
      </tp>
      <tp>
        <v>-11.0931</v>
        <stp/>
        <stp>BDP|14909837958482677928|22</stp>
        <stp>SADAFCO AB Equity</stp>
        <stp>CHG_PCT_YTD_RT</stp>
        <tr r="F134" s="2"/>
      </tp>
      <tp>
        <v>577367</v>
        <stp/>
        <stp>BDP|11554463921195066901|22</stp>
        <stp>MEDGULF AB Equity</stp>
        <stp>VOLUME</stp>
        <tr r="J171" s="2"/>
      </tp>
      <tp>
        <v>404715</v>
        <stp/>
        <stp>BDP|13328724396889674623|22</stp>
        <stp>YAMAMAH AB Equity</stp>
        <stp>VOLUME</stp>
        <tr r="J214" s="2"/>
      </tp>
      <tp>
        <v>20552</v>
        <stp/>
        <stp>BDP|16767149316271009784|22</stp>
        <stp>SADAFCO AB Equity</stp>
        <stp>VOLUME</stp>
        <tr r="J134" s="2"/>
      </tp>
      <tp t="s">
        <v>#N/A Requesting Data...2566645712</v>
        <stp/>
        <stp>BDP|4219096887019195775</stp>
        <tr r="H103" s="2"/>
      </tp>
      <tp t="s">
        <v>#N/A Requesting Data...3351155358</v>
        <stp/>
        <stp>BDP|7481684961090036572</stp>
        <tr r="X285" s="2"/>
      </tp>
      <tp t="s">
        <v>#N/A Requesting Data...1712032527</v>
        <stp/>
        <stp>BDP|9996678146221290805</stp>
        <tr r="O293" s="2"/>
      </tp>
      <tp t="s">
        <v>#N/A Requesting Data...3767867988</v>
        <stp/>
        <stp>BDP|3700859954629981559</stp>
        <tr r="H67" s="2"/>
      </tp>
      <tp t="s">
        <v>#N/A Requesting Data...3646355248</v>
        <stp/>
        <stp>BDP|3511807399416723614</stp>
        <tr r="X269" s="2"/>
      </tp>
      <tp t="s">
        <v>#N/A Requesting Data...3882777900</v>
        <stp/>
        <stp>BDP|4756216677962974134</stp>
        <tr r="O151" s="2"/>
      </tp>
      <tp t="s">
        <v>#N/A Requesting Data...3023543563</v>
        <stp/>
        <stp>BDP|6117736143286973139</stp>
        <tr r="I244" s="2"/>
      </tp>
      <tp t="s">
        <v>#N/A Requesting Data...4114308675</v>
        <stp/>
        <stp>BDP|4028307572935130785</stp>
        <tr r="O230" s="2"/>
      </tp>
      <tp t="s">
        <v>#N/A Requesting Data...3684268908</v>
        <stp/>
        <stp>BDP|5223548996343851831</stp>
        <tr r="U116" s="2"/>
      </tp>
      <tp t="s">
        <v>#N/A Requesting Data...3998729960</v>
        <stp/>
        <stp>BDP|2132763925843989600</stp>
        <tr r="H254" s="2"/>
      </tp>
      <tp t="s">
        <v>#N/A Requesting Data...2707279917</v>
        <stp/>
        <stp>BDP|7471071908276047300</stp>
        <tr r="P151" s="2"/>
      </tp>
      <tp t="s">
        <v>#N/A Requesting Data...4142265098</v>
        <stp/>
        <stp>BDP|7167764518053172056</stp>
        <tr r="T112" s="2"/>
      </tp>
      <tp t="s">
        <v>#N/A Requesting Data...2110432847</v>
        <stp/>
        <stp>BDP|5889575512832754115</stp>
        <tr r="X101" s="2"/>
      </tp>
      <tp t="s">
        <v>#N/A Requesting Data...2963619220</v>
        <stp/>
        <stp>BDP|3511673279253154324</stp>
        <tr r="H130" s="2"/>
      </tp>
      <tp t="s">
        <v>#N/A Requesting Data...4225787008</v>
        <stp/>
        <stp>BDP|5694553329275752559</stp>
        <tr r="P184" s="2"/>
      </tp>
      <tp t="s">
        <v>#N/A Requesting Data...2702606609</v>
        <stp/>
        <stp>BDP|7031136292204996908</stp>
        <tr r="X215" s="2"/>
      </tp>
      <tp t="s">
        <v>#N/A N/A</v>
        <stp/>
        <stp>BDH|6495390154451111304</stp>
        <tr r="V293" s="2"/>
      </tp>
      <tp t="s">
        <v>#N/A Requesting Data...4164583620</v>
        <stp/>
        <stp>BDP|9419992780403481906</stp>
        <tr r="T25" s="2"/>
      </tp>
      <tp t="s">
        <v>#N/A Requesting Data...2173458743</v>
        <stp/>
        <stp>BDP|2971609228686075284</stp>
        <tr r="P181" s="2"/>
      </tp>
      <tp t="s">
        <v>#N/A Requesting Data...2836715683</v>
        <stp/>
        <stp>BDP|3736553329570490662</stp>
        <tr r="I242" s="2"/>
      </tp>
      <tp t="s">
        <v>#N/A Requesting Data...3261123494</v>
        <stp/>
        <stp>BDP|3281386000592727035</stp>
        <tr r="H233" s="2"/>
      </tp>
      <tp t="s">
        <v>#N/A Requesting Data...1628063449</v>
        <stp/>
        <stp>BDP|4286187232720721414</stp>
        <tr r="P265" s="2"/>
      </tp>
      <tp t="s">
        <v>#N/A Requesting Data...3637016642</v>
        <stp/>
        <stp>BDP|9030298336943928981</stp>
        <tr r="P198" s="2"/>
      </tp>
      <tp t="s">
        <v>#N/A Requesting Data...2658662872</v>
        <stp/>
        <stp>BDP|2852826813280248954</stp>
        <tr r="H120" s="2"/>
      </tp>
      <tp t="s">
        <v>#N/A Requesting Data...1819837450</v>
        <stp/>
        <stp>BDP|3281475285139719486</stp>
        <tr r="P274" s="2"/>
      </tp>
      <tp t="s">
        <v>#N/A Requesting Data...2780466454</v>
        <stp/>
        <stp>BDP|4100049349934204610</stp>
        <tr r="S4" s="2"/>
      </tp>
      <tp t="s">
        <v>#N/A Requesting Data...3476904736</v>
        <stp/>
        <stp>BDP|2824126843461011466</stp>
        <tr r="H190" s="2"/>
      </tp>
      <tp t="s">
        <v>#N/A N/A</v>
        <stp/>
        <stp>BDH|1745655356517953722</stp>
        <tr r="V186" s="2"/>
      </tp>
      <tp t="s">
        <v>#N/A Requesting Data...2695056650</v>
        <stp/>
        <stp>BDP|3279253307912876142</stp>
        <tr r="X64" s="2"/>
      </tp>
      <tp t="s">
        <v>#N/A Requesting Data...3075936618</v>
        <stp/>
        <stp>BDP|6178356361047084692</stp>
        <tr r="T150" s="2"/>
      </tp>
      <tp t="s">
        <v>#N/A Requesting Data...2223772646</v>
        <stp/>
        <stp>BDP|7173096613220617412</stp>
        <tr r="X2" s="2"/>
      </tp>
      <tp t="s">
        <v>#N/A Requesting Data...1678929907</v>
        <stp/>
        <stp>BDP|1775919364824911870</stp>
        <tr r="T75" s="2"/>
      </tp>
      <tp t="s">
        <v>#N/A N/A</v>
        <stp/>
        <stp>BDH|1707278720721485287</stp>
        <tr r="V229" s="2"/>
      </tp>
      <tp t="s">
        <v>#N/A Requesting Data...1647612973</v>
        <stp/>
        <stp>BDP|9885400363751216846</stp>
        <tr r="H260" s="2"/>
      </tp>
      <tp t="s">
        <v>#N/A Requesting Data...2338255832</v>
        <stp/>
        <stp>BDP|5647606368691641650</stp>
        <tr r="P81" s="2"/>
      </tp>
      <tp t="s">
        <v>#N/A Requesting Data...2546508544</v>
        <stp/>
        <stp>BDP|2668629688338498656</stp>
        <tr r="T178" s="2"/>
      </tp>
      <tp t="s">
        <v>#N/A Requesting Data...2906566499</v>
        <stp/>
        <stp>BDP|5949108162465284542</stp>
        <tr r="I290" s="2"/>
      </tp>
      <tp t="s">
        <v>#N/A Requesting Data...1664882753</v>
        <stp/>
        <stp>BDP|2906935173286147857</stp>
        <tr r="I193" s="2"/>
      </tp>
      <tp t="s">
        <v>#N/A Requesting Data...3581564643</v>
        <stp/>
        <stp>BDP|5747167201112515484</stp>
        <tr r="H262" s="2"/>
      </tp>
      <tp t="s">
        <v>#N/A N/A</v>
        <stp/>
        <stp>BDH|9404743793623673685</stp>
        <tr r="V135" s="2"/>
      </tp>
      <tp t="s">
        <v>#N/A Requesting Data...1982265181</v>
        <stp/>
        <stp>BDP|2664222857684586340</stp>
        <tr r="X254" s="2"/>
      </tp>
      <tp t="s">
        <v>#N/A Requesting Data...2129524971</v>
        <stp/>
        <stp>BDP|5331346616780210517</stp>
        <tr r="O211" s="2"/>
      </tp>
      <tp t="s">
        <v>#N/A Requesting Data...3425854257</v>
        <stp/>
        <stp>BDP|5195079443424220751</stp>
        <tr r="I267" s="2"/>
      </tp>
      <tp t="s">
        <v>#N/A Requesting Data...3015843732</v>
        <stp/>
        <stp>BDP|2435426437792149520</stp>
        <tr r="X49" s="2"/>
      </tp>
      <tp t="s">
        <v>#N/A N/A</v>
        <stp/>
        <stp>BDH|5757446872281595569</stp>
        <tr r="V132" s="2"/>
      </tp>
      <tp t="s">
        <v>#N/A N/A</v>
        <stp/>
        <stp>BDH|3375119517822045376</stp>
        <tr r="V29" s="2"/>
      </tp>
      <tp t="s">
        <v>#N/A Requesting Data...1845648065</v>
        <stp/>
        <stp>BDP|8184803536468078945</stp>
        <tr r="O208" s="2"/>
      </tp>
      <tp t="s">
        <v>#N/A Requesting Data...2246274873</v>
        <stp/>
        <stp>BDP|6024920207039540439</stp>
        <tr r="U68" s="2"/>
      </tp>
      <tp t="s">
        <v>#N/A Requesting Data...4223433007</v>
        <stp/>
        <stp>BDP|9725515273749770019</stp>
        <tr r="U20" s="2"/>
      </tp>
      <tp t="s">
        <v>#N/A Requesting Data...4239797727</v>
        <stp/>
        <stp>BDP|4069378344252941398</stp>
        <tr r="O236" s="2"/>
      </tp>
      <tp t="s">
        <v>#N/A Requesting Data...3028889577</v>
        <stp/>
        <stp>BDP|1609677831413357503</stp>
        <tr r="I57" s="2"/>
      </tp>
      <tp t="s">
        <v>#N/A Requesting Data...3964377440</v>
        <stp/>
        <stp>BDP|7959008343508983907</stp>
        <tr r="X22" s="2"/>
      </tp>
      <tp t="s">
        <v>#N/A Requesting Data...2616507760</v>
        <stp/>
        <stp>BDP|1652159922821185104</stp>
        <tr r="U224" s="2"/>
      </tp>
      <tp t="s">
        <v>#N/A Requesting Data...3146786752</v>
        <stp/>
        <stp>BDP|1570035957093275538</stp>
        <tr r="H159" s="2"/>
      </tp>
      <tp t="s">
        <v>#N/A Requesting Data...2550050428</v>
        <stp/>
        <stp>BDP|4001151317133684547</stp>
        <tr r="I32" s="2"/>
      </tp>
      <tp t="s">
        <v>#N/A Requesting Data...2378318169</v>
        <stp/>
        <stp>BDP|1012137139111367090</stp>
        <tr r="I247" s="2"/>
      </tp>
      <tp t="s">
        <v>#N/A Requesting Data...2206833925</v>
        <stp/>
        <stp>BDP|4018598623897398698</stp>
        <tr r="S122" s="2"/>
      </tp>
      <tp t="s">
        <v>#N/A Requesting Data...2775224684</v>
        <stp/>
        <stp>BDP|7500840996381627515</stp>
        <tr r="U262" s="2"/>
      </tp>
      <tp t="s">
        <v>#N/A Requesting Data...2666813497</v>
        <stp/>
        <stp>BDP|1221516651123287014</stp>
        <tr r="H37" s="2"/>
      </tp>
      <tp t="s">
        <v>#N/A Requesting Data...4011319611</v>
        <stp/>
        <stp>BDP|2106168977020104601</stp>
        <tr r="O103" s="2"/>
      </tp>
      <tp t="s">
        <v>#N/A Requesting Data...2792397143</v>
        <stp/>
        <stp>BDP|1208782448848130829</stp>
        <tr r="U258" s="2"/>
      </tp>
      <tp t="s">
        <v>#N/A Requesting Data...3533679375</v>
        <stp/>
        <stp>BDP|9643964146052576424</stp>
        <tr r="I239" s="2"/>
      </tp>
      <tp t="s">
        <v>#N/A Requesting Data...2237847205</v>
        <stp/>
        <stp>BDP|2901433430724275390</stp>
        <tr r="T110" s="2"/>
      </tp>
      <tp t="s">
        <v>#N/A Requesting Data...2477985956</v>
        <stp/>
        <stp>BDP|3691019964210590779</stp>
        <tr r="X143" s="2"/>
      </tp>
      <tp t="s">
        <v>#N/A Requesting Data...1775544336</v>
        <stp/>
        <stp>BDP|7482935286305232129</stp>
        <tr r="H152" s="2"/>
      </tp>
      <tp t="s">
        <v>#N/A Requesting Data...2952872815</v>
        <stp/>
        <stp>BDP|6693374113995735341</stp>
        <tr r="I192" s="2"/>
      </tp>
      <tp>
        <v>-1.8920999765396118</v>
        <stp/>
        <stp>BDP|7457556368979183962|22</stp>
        <stp>ARNB AB Equity</stp>
        <stp>RT_PX_CHG_PCT_1D</stp>
        <tr r="D8" s="2"/>
      </tp>
      <tp t="s">
        <v>#N/A Requesting Data...3528970113</v>
        <stp/>
        <stp>BDP|7557176976807610441</stp>
        <tr r="T177" s="2"/>
      </tp>
      <tp t="s">
        <v>#N/A Requesting Data...4086421019</v>
        <stp/>
        <stp>BDP|1299038336577393720</stp>
        <tr r="P220" s="2"/>
      </tp>
      <tp t="s">
        <v>#N/A Requesting Data...1734910898</v>
        <stp/>
        <stp>BDP|8613870312220554304</stp>
        <tr r="S45" s="2"/>
      </tp>
      <tp t="s">
        <v>#N/A Requesting Data...2539279201</v>
        <stp/>
        <stp>BDP|7152357049036851431</stp>
        <tr r="U200" s="2"/>
      </tp>
      <tp t="s">
        <v>#N/A Requesting Data...2387703035</v>
        <stp/>
        <stp>BDP|3146199918409741804</stp>
        <tr r="O189" s="2"/>
      </tp>
      <tp t="s">
        <v>#N/A Requesting Data...2994242275</v>
        <stp/>
        <stp>BDP|6680751293472595825</stp>
        <tr r="T43" s="2"/>
      </tp>
      <tp t="s">
        <v>#N/A Requesting Data...2038674345</v>
        <stp/>
        <stp>BDP|1340648131981270730</stp>
        <tr r="O136" s="2"/>
      </tp>
      <tp t="s">
        <v>#N/A Requesting Data...1652417673</v>
        <stp/>
        <stp>BDP|5916215323573925469</stp>
        <tr r="H146" s="2"/>
      </tp>
      <tp t="s">
        <v>#N/A Requesting Data...2001011708</v>
        <stp/>
        <stp>BDP|7585009330597209139</stp>
        <tr r="S210" s="2"/>
      </tp>
      <tp t="s">
        <v>#N/A Requesting Data...3427254780</v>
        <stp/>
        <stp>BDP|8618529612389151730</stp>
        <tr r="I257" s="2"/>
      </tp>
      <tp t="s">
        <v>#N/A Requesting Data...1676525911</v>
        <stp/>
        <stp>BDP|2600026576057046079</stp>
        <tr r="I20" s="2"/>
      </tp>
      <tp t="s">
        <v>#N/A Requesting Data...1928515969</v>
        <stp/>
        <stp>BDP|9195409596190047628</stp>
        <tr r="I146" s="2"/>
      </tp>
      <tp t="s">
        <v>#N/A Requesting Data...2380916821</v>
        <stp/>
        <stp>BDP|7782519702902014215</stp>
        <tr r="S30" s="2"/>
      </tp>
      <tp t="s">
        <v>#N/A Requesting Data...3784064482</v>
        <stp/>
        <stp>BDP|7136129469476682497</stp>
        <tr r="I157" s="2"/>
      </tp>
      <tp t="s">
        <v>#N/A Requesting Data...3997207677</v>
        <stp/>
        <stp>BDP|7016868896646599200</stp>
        <tr r="T251" s="2"/>
      </tp>
      <tp>
        <v>-5.7020999999999997</v>
        <stp/>
        <stp>BDP|1267992710279707048|22</stp>
        <stp>TADAWULG AB Equity</stp>
        <stp>CHG_PCT_YTD_RT</stp>
        <tr r="F120" s="2"/>
      </tp>
      <tp>
        <v>382937</v>
        <stp/>
        <stp>BDP|9157415400047593291|22</stp>
        <stp>ALKHLEEJ AB Equity</stp>
        <stp>VOLUME</stp>
        <tr r="J64" s="2"/>
      </tp>
      <tp>
        <v>13.72</v>
        <stp/>
        <stp>BDP|7291822988812386751|22</stp>
        <stp>ASACO AB Equity</stp>
        <stp>YEST_LAST_TRADE</stp>
        <tr r="G127" s="2"/>
      </tp>
      <tp>
        <v>21.92</v>
        <stp/>
        <stp>BDP|14849037381085890411|22</stp>
        <stp>ALOMRAN AB Equity</stp>
        <stp>OPEN</stp>
        <tr r="K25" s="2"/>
      </tp>
      <tp>
        <v>31.9</v>
        <stp/>
        <stp>BDP|8556097697595967590|22</stp>
        <stp>NSCSA AB Equity</stp>
        <stp>YEST_LAST_TRADE</stp>
        <tr r="G94" s="2"/>
      </tp>
      <tp>
        <v>8.9247999999999994</v>
        <stp/>
        <stp>BDP|5702687739085008467|22</stp>
        <stp>JAMJOOMP AB Equity</stp>
        <stp>CHG_PCT_YTD_RT</stp>
        <tr r="F248" s="2"/>
      </tp>
      <tp>
        <v>120544</v>
        <stp/>
        <stp>BDP|9528751520243286784|22</stp>
        <stp>ALARABIA AB Equity</stp>
        <stp>VOLUME</stp>
        <tr r="J244" s="2"/>
      </tp>
      <tp>
        <v>9.09</v>
        <stp/>
        <stp>BDP|13185689545809851017|22</stp>
        <stp>MAATHER AB Equity</stp>
        <stp>HIGH</stp>
        <tr r="M106" s="2"/>
      </tp>
      <tp>
        <v>42.18</v>
        <stp/>
        <stp>BDP|2564066196781689846|22</stp>
        <stp>JADCO AB Equity</stp>
        <stp>YEST_LAST_TRADE</stp>
        <tr r="G145" s="2"/>
      </tp>
      <tp>
        <v>164030</v>
        <stp/>
        <stp>BDP|3856689587086906001|22</stp>
        <stp>BAWAN AB Equity</stp>
        <stp>VOLUME</stp>
        <tr r="J22" s="2"/>
      </tp>
      <tp>
        <v>9.3477999999999994</v>
        <stp/>
        <stp>BDP|6959163277651043309|22</stp>
        <stp>ASACO AB Equity</stp>
        <stp>CHG_PCT_YTD_RT</stp>
        <tr r="F127" s="2"/>
      </tp>
      <tp>
        <v>5.04</v>
        <stp/>
        <stp>BDP|18311948765938589092|22</stp>
        <stp>RYDREIT AB Equity</stp>
        <stp>BID</stp>
        <tr r="Q111" s="2"/>
      </tp>
      <tp>
        <v>2.6131999492645264</v>
        <stp/>
        <stp>BDP|17923353833084158885|22</stp>
        <stp>GAS AB Equity</stp>
        <stp>RT_PX_CHG_PCT_1D</stp>
        <tr r="D30" s="2"/>
      </tp>
      <tp>
        <v>25.463000000000001</v>
        <stp/>
        <stp>BDP|5104489962014887706|22</stp>
        <stp>OASIS AB Equity</stp>
        <stp>CHG_PCT_YTD_RT</stp>
        <tr r="F207" s="2"/>
      </tp>
      <tp>
        <v>6.6372</v>
        <stp/>
        <stp>BDP|1929635063970715752|22</stp>
        <stp>SIECO AB Equity</stp>
        <stp>CHG_PCT_YTD_RT</stp>
        <tr r="F29" s="2"/>
      </tp>
      <tp>
        <v>55.8</v>
        <stp/>
        <stp>BDP|15772205622985134268|22</stp>
        <stp>SPM AB Equity</stp>
        <stp>YEST_LAST_TRADE</stp>
        <tr r="G215" s="2"/>
      </tp>
      <tp>
        <v>-1.278499960899353</v>
        <stp/>
        <stp>BDP|16365627811150057134|22</stp>
        <stp>STC AB Equity</stp>
        <stp>RT_PX_CHG_PCT_1D</stp>
        <tr r="D275" s="2"/>
      </tp>
      <tp>
        <v>13.17</v>
        <stp/>
        <stp>BDP|12213272854221308320|22</stp>
        <stp>SIBC AB Equity</stp>
        <stp>YEST_LAST_TRADE</stp>
        <tr r="G11" s="2"/>
      </tp>
      <tp>
        <v>610031</v>
        <stp/>
        <stp>BDP|11166079797559709084|22</stp>
        <stp>SHAKER AB Equity</stp>
        <stp>VOLUME</stp>
        <tr r="J18" s="2"/>
      </tp>
      <tp>
        <v>5.0999999999999996</v>
        <stp/>
        <stp>BDP|14884306240500308271|22</stp>
        <stp>SICOSAUD AB Equity</stp>
        <stp>LOW</stp>
        <tr r="L113" s="2"/>
      </tp>
      <tp>
        <v>102</v>
        <stp/>
        <stp>BDP|16719401366222357723|22</stp>
        <stp>ALMAWARI AB Equity</stp>
        <stp>ASK</stp>
        <tr r="R38" s="2"/>
      </tp>
      <tp>
        <v>71.95</v>
        <stp/>
        <stp>BDP|9528295336762824238|22</stp>
        <stp>RESEARCH AB Equity</stp>
        <stp>OPEN</stp>
        <tr r="K242" s="2"/>
      </tp>
      <tp>
        <v>3.93</v>
        <stp/>
        <stp>BDP|8312102920280036766|22</stp>
        <stp>MUSHREIT AB Equity</stp>
        <stp>OPEN</stp>
        <tr r="K103" s="2"/>
      </tp>
      <tp>
        <v>1.6930000000000001</v>
        <stp/>
        <stp>BDP|10811250360058785209|22</stp>
        <stp>ZOUJAJ AB Equity</stp>
        <stp>CHG_PCT_YTD_RT</stp>
        <tr r="F220" s="2"/>
      </tp>
      <tp>
        <v>80876</v>
        <stp/>
        <stp>BDP|16789445142757650447|22</stp>
        <stp>SAWCEM AB Equity</stp>
        <stp>VOLUME</stp>
        <tr r="J204" s="2"/>
      </tp>
      <tp>
        <v>147.30000000000001</v>
        <stp/>
        <stp>BDP|6353478170023910805|22</stp>
        <stp>TAWUNIYA AB Equity</stp>
        <stp>OPEN</stp>
        <tr r="K183" s="2"/>
      </tp>
      <tp>
        <v>30.922699999999999</v>
        <stp/>
        <stp>BDP|16931005901514076356|22</stp>
        <stp>YAMAMAH AB Equity</stp>
        <stp>CHG_PCT_YTD_RT</stp>
        <tr r="F214" s="2"/>
      </tp>
      <tp>
        <v>30.52</v>
        <stp/>
        <stp>BDP|17668294299303655287|22</stp>
        <stp>BUDGET AB Equity</stp>
        <stp>HIGH</stp>
        <tr r="M285" s="2"/>
      </tp>
      <tp>
        <v>22.85</v>
        <stp/>
        <stp>BDP|677222602718646179|22</stp>
        <stp>MBCGROUP AB Equity</stp>
        <stp>LAST_PRICE</stp>
        <tr r="B243" s="2"/>
        <tr r="C243" s="2"/>
      </tp>
      <tp t="s">
        <v>#N/A Requesting Data...3737129773</v>
        <stp/>
        <stp>BDP|5213985452663292901</stp>
        <tr r="S56" s="2"/>
      </tp>
      <tp t="s">
        <v>#N/A Requesting Data...3110214246</v>
        <stp/>
        <stp>BDP|1190645578563649013</stp>
        <tr r="P251" s="2"/>
      </tp>
      <tp t="s">
        <v>#N/A Requesting Data...2241663892</v>
        <stp/>
        <stp>BDP|1989071152445342245</stp>
        <tr r="O214" s="2"/>
      </tp>
      <tp t="s">
        <v>#N/A N/A</v>
        <stp/>
        <stp>BDH|9183535129705125811</stp>
        <tr r="V90" s="2"/>
      </tp>
      <tp t="s">
        <v>#N/A Requesting Data...2604046803</v>
        <stp/>
        <stp>BDP|6451592866335749349</stp>
        <tr r="U194" s="2"/>
      </tp>
      <tp t="s">
        <v>#N/A Requesting Data...3346042450</v>
        <stp/>
        <stp>BDP|4945105656960566326</stp>
        <tr r="I78" s="2"/>
      </tp>
      <tp t="s">
        <v>#N/A Requesting Data...1719433187</v>
        <stp/>
        <stp>BDP|2467253999928568258</stp>
        <tr r="U228" s="2"/>
      </tp>
      <tp t="s">
        <v>#N/A Requesting Data...3058094043</v>
        <stp/>
        <stp>BDP|7895320764310174166</stp>
        <tr r="S82" s="2"/>
      </tp>
      <tp t="s">
        <v>#N/A Requesting Data...2711478263</v>
        <stp/>
        <stp>BDP|2720124696450308992</stp>
        <tr r="I150" s="2"/>
      </tp>
      <tp t="s">
        <v>#N/A Requesting Data...4103550529</v>
        <stp/>
        <stp>BDP|7588370406665455298</stp>
        <tr r="T248" s="2"/>
      </tp>
      <tp t="s">
        <v>#N/A Requesting Data...3539347018</v>
        <stp/>
        <stp>BDP|5815936901289265616</stp>
        <tr r="H122" s="2"/>
      </tp>
      <tp t="s">
        <v>#N/A Requesting Data...1943437703</v>
        <stp/>
        <stp>BDP|6897343186926646851</stp>
        <tr r="S200" s="2"/>
      </tp>
      <tp t="s">
        <v>#N/A Requesting Data...3614421943</v>
        <stp/>
        <stp>BDP|6824585868972161474</stp>
        <tr r="T293" s="2"/>
      </tp>
      <tp t="s">
        <v>#N/A Requesting Data...3789576498</v>
        <stp/>
        <stp>BDP|8968822407284795750</stp>
        <tr r="P71" s="2"/>
      </tp>
      <tp t="s">
        <v>#N/A Requesting Data...3895390254</v>
        <stp/>
        <stp>BDP|8271903729338677835</stp>
        <tr r="I133" s="2"/>
      </tp>
      <tp t="s">
        <v>#N/A Requesting Data...4207165237</v>
        <stp/>
        <stp>BDP|6351398972768306944</stp>
        <tr r="O190" s="2"/>
      </tp>
      <tp t="s">
        <v>#N/A Requesting Data...2135449175</v>
        <stp/>
        <stp>BDP|6939016916807667379</stp>
        <tr r="S120" s="2"/>
      </tp>
      <tp t="s">
        <v>#N/A Requesting Data...1895124420</v>
        <stp/>
        <stp>BDP|2512587303161363525</stp>
        <tr r="X238" s="2"/>
      </tp>
      <tp t="s">
        <v>#N/A Requesting Data...3259146433</v>
        <stp/>
        <stp>BDP|6607179573124844758</stp>
        <tr r="X44" s="2"/>
      </tp>
      <tp t="s">
        <v>#N/A Requesting Data...3890094759</v>
        <stp/>
        <stp>BDP|6150479839836809482</stp>
        <tr r="O69" s="2"/>
      </tp>
      <tp t="s">
        <v>#N/A Requesting Data...3778306490</v>
        <stp/>
        <stp>BDP|8903941496753539828</stp>
        <tr r="P197" s="2"/>
      </tp>
      <tp t="s">
        <v>#N/A Requesting Data...4258837851</v>
        <stp/>
        <stp>BDP|8887791679508006349</stp>
        <tr r="T185" s="2"/>
      </tp>
      <tp t="s">
        <v>#N/A Requesting Data...4019012319</v>
        <stp/>
        <stp>BDP|8186932260537913378</stp>
        <tr r="H230" s="2"/>
      </tp>
      <tp t="s">
        <v>#N/A Requesting Data...3499971698</v>
        <stp/>
        <stp>BDP|1813575725405526034</stp>
        <tr r="H80" s="2"/>
      </tp>
      <tp t="s">
        <v>#N/A Requesting Data...2569267900</v>
        <stp/>
        <stp>BDP|7891673464262556633</stp>
        <tr r="P50" s="2"/>
      </tp>
      <tp t="s">
        <v>#N/A Requesting Data...4101083945</v>
        <stp/>
        <stp>BDP|4584078466527072695</stp>
        <tr r="U80" s="2"/>
      </tp>
      <tp>
        <v>4.1332001686096191</v>
        <stp/>
        <stp>BDP|8247491184305077743|22</stp>
        <stp>ATAA AB Equity</stp>
        <stp>RT_PX_CHG_PCT_1D</stp>
        <tr r="D75" s="2"/>
      </tp>
      <tp t="s">
        <v>#N/A Requesting Data...2648457052</v>
        <stp/>
        <stp>BDP|5164411685948576222</stp>
        <tr r="H186" s="2"/>
      </tp>
      <tp t="s">
        <v>#N/A Requesting Data...2716614121</v>
        <stp/>
        <stp>BDP|7756659234771361076</stp>
        <tr r="T241" s="2"/>
      </tp>
      <tp t="s">
        <v>#N/A Requesting Data...2729334397</v>
        <stp/>
        <stp>BDP|4530679206011481028</stp>
        <tr r="T73" s="2"/>
      </tp>
      <tp t="s">
        <v>#N/A Requesting Data...1924553991</v>
        <stp/>
        <stp>BDP|7660429955281055435</stp>
        <tr r="P117" s="2"/>
      </tp>
      <tp t="s">
        <v>#N/A Requesting Data...2680506134</v>
        <stp/>
        <stp>BDP|4336079336520357436</stp>
        <tr r="P45" s="2"/>
      </tp>
      <tp t="s">
        <v>#N/A Requesting Data...2865563558</v>
        <stp/>
        <stp>BDP|4744665724945144663</stp>
        <tr r="S127" s="2"/>
      </tp>
      <tp t="s">
        <v>#N/A Requesting Data...2478012804</v>
        <stp/>
        <stp>BDP|3709617376615142434</stp>
        <tr r="X263" s="2"/>
      </tp>
      <tp t="s">
        <v>#N/A Requesting Data...1814122380</v>
        <stp/>
        <stp>BDP|6130235967005322444</stp>
        <tr r="AA4" s="2"/>
      </tp>
      <tp t="s">
        <v>#N/A Requesting Data...3225321905</v>
        <stp/>
        <stp>BDP|2126165211175765435</stp>
        <tr r="T163" s="2"/>
      </tp>
      <tp t="s">
        <v>#N/A Requesting Data...2103199625</v>
        <stp/>
        <stp>BDP|3363915625328212375</stp>
        <tr r="T30" s="2"/>
      </tp>
      <tp t="s">
        <v>#N/A N/A</v>
        <stp/>
        <stp>BDH|4421724681960000858</stp>
        <tr r="V210" s="2"/>
      </tp>
      <tp t="s">
        <v>#N/A Requesting Data...4128035688</v>
        <stp/>
        <stp>BDP|7097547676176843090</stp>
        <tr r="T113" s="2"/>
      </tp>
      <tp t="s">
        <v>#N/A Requesting Data...4102862187</v>
        <stp/>
        <stp>BDP|3113512063784287726</stp>
        <tr r="U210" s="2"/>
      </tp>
      <tp t="s">
        <v>#N/A Requesting Data...4079747078</v>
        <stp/>
        <stp>BDP|4307107952007191434</stp>
        <tr r="H142" s="2"/>
      </tp>
      <tp t="s">
        <v>#N/A Requesting Data...2780674802</v>
        <stp/>
        <stp>BDP|3135711417144154255</stp>
        <tr r="H222" s="2"/>
      </tp>
      <tp t="s">
        <v>#N/A Requesting Data...3982302057</v>
        <stp/>
        <stp>BDP|2276239733749634940</stp>
        <tr r="H75" s="2"/>
      </tp>
      <tp t="s">
        <v>#N/A Requesting Data...4033208230</v>
        <stp/>
        <stp>BDP|5541120450052536026</stp>
        <tr r="I39" s="2"/>
      </tp>
      <tp t="s">
        <v>#N/A Requesting Data...2091473858</v>
        <stp/>
        <stp>BDP|2430640555803538108</stp>
        <tr r="H9" s="2"/>
      </tp>
      <tp t="s">
        <v>#N/A Requesting Data...4024633561</v>
        <stp/>
        <stp>BDP|3516677911554052336</stp>
        <tr r="O17" s="2"/>
      </tp>
      <tp t="s">
        <v>#N/A Requesting Data...3937197519</v>
        <stp/>
        <stp>BDP|3239953698551836175</stp>
        <tr r="X63" s="2"/>
      </tp>
      <tp t="s">
        <v>#N/A Requesting Data...2667347081</v>
        <stp/>
        <stp>BDP|6010691655344973252</stp>
        <tr r="T17" s="2"/>
      </tp>
      <tp t="s">
        <v>#N/A N/A</v>
        <stp/>
        <stp>BDH|4593324574387607453</stp>
        <tr r="V265" s="2"/>
      </tp>
      <tp t="s">
        <v>#N/A Requesting Data...2775039728</v>
        <stp/>
        <stp>BDP|1597460984639387758</stp>
        <tr r="P31" s="2"/>
      </tp>
      <tp t="s">
        <v>#N/A Requesting Data...4210451974</v>
        <stp/>
        <stp>BDP|9927804230305904414</stp>
        <tr r="H207" s="2"/>
      </tp>
      <tp t="s">
        <v>#N/A N/A</v>
        <stp/>
        <stp>BDH|8517699803445604888</stp>
        <tr r="V133" s="2"/>
      </tp>
      <tp t="s">
        <v>#N/A Requesting Data...3142075233</v>
        <stp/>
        <stp>BDP|4437271105642049709</stp>
        <tr r="I18" s="2"/>
      </tp>
      <tp t="s">
        <v>#N/A Requesting Data...3296920025</v>
        <stp/>
        <stp>BDP|2560037434711582313</stp>
        <tr r="T94" s="2"/>
      </tp>
      <tp t="s">
        <v>#N/A Requesting Data...2544780729</v>
        <stp/>
        <stp>BDP|7411549853865354169</stp>
        <tr r="P84" s="2"/>
      </tp>
      <tp t="s">
        <v>#N/A Requesting Data...2632626063</v>
        <stp/>
        <stp>BDP|3522603113533436448</stp>
        <tr r="U16" s="2"/>
      </tp>
      <tp t="s">
        <v>#N/A Requesting Data...2591841201</v>
        <stp/>
        <stp>BDP|2657180728793018100</stp>
        <tr r="H166" s="2"/>
      </tp>
      <tp t="s">
        <v>#N/A Requesting Data...3769794199</v>
        <stp/>
        <stp>BDP|6373484082570944960</stp>
        <tr r="O55" s="2"/>
      </tp>
      <tp t="s">
        <v>#N/A Requesting Data...2273346056</v>
        <stp/>
        <stp>BDP|4435070125571416443</stp>
        <tr r="I72" s="2"/>
      </tp>
      <tp t="s">
        <v>#N/A Requesting Data...3102940905</v>
        <stp/>
        <stp>BDP|7671469377566289134</stp>
        <tr r="P102" s="2"/>
      </tp>
      <tp t="s">
        <v>#N/A N/A</v>
        <stp/>
        <stp>BDH|3481637954946302563</stp>
        <tr r="V50" s="2"/>
      </tp>
      <tp t="s">
        <v>#N/A N/A</v>
        <stp/>
        <stp>BDH|1726684132147398082</stp>
        <tr r="V158" s="2"/>
      </tp>
      <tp t="s">
        <v>#N/A Requesting Data...3469462068</v>
        <stp/>
        <stp>BDP|9068818310035155672</stp>
        <tr r="O150" s="2"/>
      </tp>
      <tp t="s">
        <v>#N/A Requesting Data...3384761939</v>
        <stp/>
        <stp>BDP|8243175980396397415</stp>
        <tr r="O75" s="2"/>
      </tp>
      <tp t="s">
        <v>#N/A Requesting Data...2701054013</v>
        <stp/>
        <stp>BDP|2337753686687459934</stp>
        <tr r="O267" s="2"/>
      </tp>
      <tp t="s">
        <v>#N/A N/A</v>
        <stp/>
        <stp>BDH|5351823029808767480</stp>
        <tr r="V51" s="2"/>
      </tp>
      <tp t="s">
        <v>#N/A Requesting Data...2292844803</v>
        <stp/>
        <stp>BDP|3393215757171761662</stp>
        <tr r="X264" s="2"/>
      </tp>
      <tp t="s">
        <v>#N/A Requesting Data...3507802403</v>
        <stp/>
        <stp>BDP|3694404142993484344</stp>
        <tr r="U243" s="2"/>
      </tp>
      <tp t="s">
        <v>#N/A Requesting Data...3724891828</v>
        <stp/>
        <stp>BDP|4343534677813254616</stp>
        <tr r="I288" s="2"/>
      </tp>
      <tp t="s">
        <v>#N/A Requesting Data...2967201539</v>
        <stp/>
        <stp>BDP|9715871630877425600</stp>
        <tr r="H19" s="2"/>
      </tp>
      <tp t="s">
        <v>#N/A Requesting Data...3468496957</v>
        <stp/>
        <stp>BDP|3085928487539002819</stp>
        <tr r="T24" s="2"/>
      </tp>
      <tp t="s">
        <v>#N/A Requesting Data...3170678647</v>
        <stp/>
        <stp>BDP|5139351897795195960</stp>
        <tr r="T231" s="2"/>
      </tp>
      <tp t="s">
        <v>#N/A Requesting Data...2902223552</v>
        <stp/>
        <stp>BDP|1410261374223399419</stp>
        <tr r="P178" s="2"/>
      </tp>
      <tp t="s">
        <v>#N/A N/A</v>
        <stp/>
        <stp>BDH|9979935656613047588</stp>
        <tr r="V190" s="2"/>
      </tp>
      <tp t="s">
        <v>#N/A Requesting Data...2088817520</v>
        <stp/>
        <stp>BDP|1676709416257341361</stp>
        <tr r="T187" s="2"/>
      </tp>
      <tp t="s">
        <v>#N/A Requesting Data...3123129218</v>
        <stp/>
        <stp>BDP|9298826443527560134</stp>
        <tr r="X161" s="2"/>
      </tp>
      <tp t="s">
        <v>#N/A Requesting Data...2896162838</v>
        <stp/>
        <stp>BDP|5331311632513188540</stp>
        <tr r="T97" s="2"/>
      </tp>
      <tp t="s">
        <v>#N/A Requesting Data...3613431751</v>
        <stp/>
        <stp>BDP|4296155102011485745</stp>
        <tr r="T22" s="2"/>
      </tp>
      <tp t="s">
        <v>#N/A Requesting Data...3616379608</v>
        <stp/>
        <stp>BDP|8985307988800613025</stp>
        <tr r="T238" s="2"/>
      </tp>
      <tp t="s">
        <v>#N/A Requesting Data...3202399898</v>
        <stp/>
        <stp>BDP|4397175035012404708</stp>
        <tr r="X117" s="2"/>
      </tp>
      <tp>
        <v>3.55</v>
        <stp/>
        <stp>BDP|10198345209730695937|22</stp>
        <stp>ARABSEA AB Equity</stp>
        <stp>OPEN</stp>
        <tr r="K272" s="2"/>
      </tp>
      <tp>
        <v>7.6833</v>
        <stp/>
        <stp>BDP|9636688508973968762|22</stp>
        <stp>FAKEEHCA AB Equity</stp>
        <stp>CHG_PCT_YTD_RT</stp>
        <tr r="F157" s="2"/>
      </tp>
      <tp>
        <v>28.18</v>
        <stp/>
        <stp>BDP|12986928476901635170|22</stp>
        <stp>SPIMACO AB Equity</stp>
        <stp>OPEN</stp>
        <tr r="K246" s="2"/>
      </tp>
      <tp>
        <v>27</v>
        <stp/>
        <stp>BDP|2931127279540363657|22</stp>
        <stp>ALCO AB Equity</stp>
        <stp>LAST_PRICE</stp>
        <tr r="B237" s="2"/>
        <tr r="C237" s="2"/>
      </tp>
      <tp>
        <v>4296340</v>
        <stp/>
        <stp>BDP|9847490476375999903|22</stp>
        <stp>BSF AB Equity</stp>
        <stp>VOLUME</stp>
        <tr r="J10" s="2"/>
      </tp>
      <tp>
        <v>11.22</v>
        <stp/>
        <stp>BDP|11808212422623305681|22</stp>
        <stp>ALABDUL AB Equity</stp>
        <stp>OPEN</stp>
        <tr r="K58" s="2"/>
      </tp>
      <tp>
        <v>33.979999999999997</v>
        <stp/>
        <stp>BDP|4124666919041025201|22</stp>
        <stp>ZIIC AB Equity</stp>
        <stp>LAST_PRICE</stp>
        <tr r="B221" s="2"/>
        <tr r="C221" s="2"/>
      </tp>
      <tp>
        <v>5.8410000000000002</v>
        <stp/>
        <stp>BDP|14597384606544226392|22</stp>
        <stp>AOTHAIM AB Equity</stp>
        <stp>VWAP</stp>
        <tr r="N82" s="2"/>
      </tp>
      <tp>
        <v>8.82</v>
        <stp/>
        <stp>BDP|8992593369820369703|22</stp>
        <stp>AMLAK AB Equity</stp>
        <stp>YEST_LAST_TRADE</stp>
        <tr r="G122" s="2"/>
      </tp>
      <tp>
        <v>853540</v>
        <stp/>
        <stp>BDP|5732728929240464971|22</stp>
        <stp>AHFCO AB Equity</stp>
        <stp>VOLUME</stp>
        <tr r="J60" s="2"/>
      </tp>
      <tp>
        <v>8.8082999999999991</v>
        <stp/>
        <stp>BDP|7711776994160786172|22</stp>
        <stp>ARCCO AB Equity</stp>
        <stp>CHG_PCT_YTD_RT</stp>
        <tr r="F231" s="2"/>
      </tp>
      <tp>
        <v>0.67460000514984131</v>
        <stp/>
        <stp>BDP|11270862823647338210|22</stp>
        <stp>BSF AB Equity</stp>
        <stp>RT_PX_CHG_PCT_1D</stp>
        <tr r="D10" s="2"/>
      </tp>
      <tp>
        <v>1.7848000526428223</v>
        <stp/>
        <stp>BDP|14415524366145945890|22</stp>
        <stp>DWF AB Equity</stp>
        <stp>RT_PX_CHG_PCT_1D</stp>
        <tr r="D70" s="2"/>
      </tp>
      <tp>
        <v>2461861</v>
        <stp/>
        <stp>BDP|4319221027215358054|22</stp>
        <stp>AMANA AB Equity</stp>
        <stp>VOLUME</stp>
        <tr r="J176" s="2"/>
      </tp>
      <tp>
        <v>-16.336200000000002</v>
        <stp/>
        <stp>BDP|7150485733103683857|22</stp>
        <stp>AMLAK AB Equity</stp>
        <stp>CHG_PCT_YTD_RT</stp>
        <tr r="F122" s="2"/>
      </tp>
      <tp>
        <v>85468</v>
        <stp/>
        <stp>BDP|7008953926766114711|22</stp>
        <stp>MEFIC AB Equity</stp>
        <stp>VOLUME</stp>
        <tr r="J108" s="2"/>
      </tp>
      <tp>
        <v>178.8</v>
        <stp/>
        <stp>BDP|11404778988012142982|22</stp>
        <stp>SAL AB Equity</stp>
        <stp>YEST_LAST_TRADE</stp>
        <tr r="G282" s="2"/>
      </tp>
      <tp>
        <v>2879888</v>
        <stp/>
        <stp>BDP|7122098742358546199|22</stp>
        <stp>OASIS AB Equity</stp>
        <stp>VOLUME</stp>
        <tr r="J207" s="2"/>
      </tp>
      <tp>
        <v>65.8</v>
        <stp/>
        <stp>BDP|14990442405007990128|22</stp>
        <stp>RJHI AB Equity</stp>
        <stp>YEST_LAST_TRADE</stp>
        <tr r="G12" s="2"/>
      </tp>
      <tp>
        <v>34.299999999999997</v>
        <stp/>
        <stp>BDP|12683303500801938900|22</stp>
        <stp>ZIIC AB Equity</stp>
        <stp>YEST_LAST_TRADE</stp>
        <tr r="G221" s="2"/>
      </tp>
      <tp>
        <v>64.7</v>
        <stp/>
        <stp>BDP|17955140190654142881|22</stp>
        <stp>ALBABTAI AB Equity</stp>
        <stp>BID</stp>
        <tr r="Q15" s="2"/>
      </tp>
      <tp>
        <v>5.0999999999999996</v>
        <stp/>
        <stp>BDP|15171124110147952972|22</stp>
        <stp>SICOSAUD AB Equity</stp>
        <stp>BID</stp>
        <tr r="Q113" s="2"/>
      </tp>
      <tp>
        <v>36.72</v>
        <stp/>
        <stp>BDP|10803679580779974343|22</stp>
        <stp>FAKEEHCA AB Equity</stp>
        <stp>BID</stp>
        <tr r="Q157" s="2"/>
      </tp>
      <tp>
        <v>8.1999999999999993</v>
        <stp/>
        <stp>BDP|7606367900268791323|22</stp>
        <stp>CHEMICAL AB Equity</stp>
        <stp>HIGH</stp>
        <tr r="M154" s="2"/>
      </tp>
      <tp>
        <v>1.61</v>
        <stp/>
        <stp>BDP|4898155698879437531|22</stp>
        <stp>ALKATHIR AB Equity</stp>
        <stp>OPEN</stp>
        <tr r="K203" s="2"/>
      </tp>
      <tp>
        <v>1.8983000516891479</v>
        <stp/>
        <stp>BDP|5804364659561348677|22</stp>
        <stp>SIBC AB Equity</stp>
        <stp>RT_PX_CHG_PCT_1D</stp>
        <tr r="D11" s="2"/>
      </tp>
      <tp>
        <v>2589168</v>
        <stp/>
        <stp>BDP|16530342596472311544|22</stp>
        <stp>ARABSEA AB Equity</stp>
        <stp>VOLUME</stp>
        <tr r="J272" s="2"/>
      </tp>
      <tp>
        <v>12.0349</v>
        <stp/>
        <stp>BDP|18132169084037214857|22</stp>
        <stp>SHIELD AB Equity</stp>
        <stp>VWAP</stp>
        <tr r="N174" s="2"/>
      </tp>
      <tp>
        <v>0.70670002698898315</v>
        <stp/>
        <stp>BDP|7034128808846054152|22</stp>
        <stp>SAAC AB Equity</stp>
        <stp>RT_PX_CHG_PCT_1D</stp>
        <tr r="D17" s="2"/>
      </tp>
      <tp>
        <v>50.45</v>
        <stp/>
        <stp>BDP|13567615953822757917|22</stp>
        <stp>SSP AB Equity</stp>
        <stp>LAST_PRICE</stp>
        <tr r="B193" s="2"/>
        <tr r="C193" s="2"/>
      </tp>
      <tp>
        <v>752608</v>
        <stp/>
        <stp>BDP|1242243544033814951|22</stp>
        <stp>CGS AB Equity</stp>
        <stp>VOLUME</stp>
        <tr r="J31" s="2"/>
      </tp>
      <tp>
        <v>5.05</v>
        <stp/>
        <stp>BDP|13802487688926474236|22</stp>
        <stp>TAKWEEN AB Equity</stp>
        <stp>OPEN</stp>
        <tr r="K218" s="2"/>
      </tp>
      <tp>
        <v>154128</v>
        <stp/>
        <stp>BDP|1973300519366809655|22</stp>
        <stp>GIG AB Equity</stp>
        <stp>VOLUME</stp>
        <tr r="J185" s="2"/>
      </tp>
      <tp>
        <v>132.9</v>
        <stp/>
        <stp>BDP|15412644766772667684|22</stp>
        <stp>ALMAJED AB Equity</stp>
        <stp>HIGH</stp>
        <tr r="M163" s="2"/>
      </tp>
      <tp>
        <v>174.9</v>
        <stp/>
        <stp>BDP|248114007141591126|22</stp>
        <stp>BUPA AB Equity</stp>
        <stp>BID</stp>
        <tr r="Q188" s="2"/>
      </tp>
      <tp>
        <v>2.0590999999999999</v>
        <stp/>
        <stp>BDP|2353506046036475392|22</stp>
        <stp>SNB AB Equity</stp>
        <stp>CHG_PCT_YTD_RT</stp>
        <tr r="F13" s="2"/>
      </tp>
      <tp>
        <v>119.8</v>
        <stp/>
        <stp>BDP|10429546063080196723|22</stp>
        <stp>ALMOOSA AB Equity</stp>
        <stp>HIGH</stp>
        <tr r="M155" s="2"/>
      </tp>
      <tp>
        <v>45.86</v>
        <stp/>
        <stp>BDP|1453299811361896917|22</stp>
        <stp>TAMKEEN AB Equity</stp>
        <stp>LAST_PRICE</stp>
        <tr r="C36" s="2"/>
        <tr r="B36" s="2"/>
      </tp>
      <tp>
        <v>5.16</v>
        <stp/>
        <stp>BDP|3318077440845837018|22</stp>
        <stp>JOUF AB Equity</stp>
        <stp>LAST_PRICE</stp>
        <tr r="C216" s="2"/>
        <tr r="B216" s="2"/>
      </tp>
      <tp>
        <v>7.96</v>
        <stp/>
        <stp>BDP|4527252844447058237|22</stp>
        <stp>SEDCO AB Equity</stp>
        <stp>YEST_LAST_TRADE</stp>
        <tr r="G99" s="2"/>
      </tp>
      <tp>
        <v>-7.1276999999999999</v>
        <stp/>
        <stp>BDP|5737340129844700549|22</stp>
        <stp>ASTRA AB Equity</stp>
        <stp>CHG_PCT_YTD_RT</stp>
        <tr r="F27" s="2"/>
      </tp>
      <tp>
        <v>4.97</v>
        <stp/>
        <stp>BDP|14931749191527144332|22</stp>
        <stp>MAHARAH AB Equity</stp>
        <stp>LOW</stp>
        <tr r="L34" s="2"/>
      </tp>
      <tp>
        <v>6.9744000000000002</v>
        <stp/>
        <stp>BDP|1789071988902003171|22</stp>
        <stp>ALISADRF AB Equity</stp>
        <stp>VWAP</stp>
        <tr r="N109" s="2"/>
      </tp>
      <tp>
        <v>5.73</v>
        <stp/>
        <stp>BDP|7947789766056971958|22</stp>
        <stp>ALKHABEE AB Equity</stp>
        <stp>OPEN</stp>
        <tr r="K110" s="2"/>
      </tp>
      <tp>
        <v>0.23680000000000001</v>
        <stp/>
        <stp>BDP|12607357737691280004|22</stp>
        <stp>OBEKAN AB Equity</stp>
        <stp>CHG_PCT_YTD_RT</stp>
        <tr r="F24" s="2"/>
      </tp>
      <tp>
        <v>3.91</v>
        <stp/>
        <stp>BDP|12105549970876042266|22</stp>
        <stp>MUSHREIT AB Equity</stp>
        <stp>LOW</stp>
        <tr r="L103" s="2"/>
      </tp>
      <tp>
        <v>23.22</v>
        <stp/>
        <stp>BDP|4501976087806943744|22</stp>
        <stp>MBCGROUP AB Equity</stp>
        <stp>HIGH</stp>
        <tr r="M243" s="2"/>
      </tp>
      <tp>
        <v>44.741700000000002</v>
        <stp/>
        <stp>BDP|5583274945078988295|22</stp>
        <stp>BUILDSTA AB Equity</stp>
        <stp>VWAP</stp>
        <tr r="N44" s="2"/>
      </tp>
      <tp>
        <v>5.67</v>
        <stp/>
        <stp>BDP|15431740449062948185|22</stp>
        <stp>DERAYAHR AB Equity</stp>
        <stp>BID</stp>
        <tr r="Q104" s="2"/>
      </tp>
      <tp>
        <v>257604</v>
        <stp/>
        <stp>BDP|14533729649513568937|22</stp>
        <stp>LUBEREF AB Equity</stp>
        <stp>VOLUME</stp>
        <tr r="J235" s="2"/>
      </tp>
      <tp>
        <v>28.58</v>
        <stp/>
        <stp>BDP|12513761604842041141|22</stp>
        <stp>SPIMACO AB Equity</stp>
        <stp>HIGH</stp>
        <tr r="M246" s="2"/>
      </tp>
      <tp>
        <v>47.8</v>
        <stp/>
        <stp>BDP|243560080741277328|22</stp>
        <stp>ARABIANM AB Equity</stp>
        <stp>YEST_LAST_TRADE</stp>
        <tr r="G138" s="2"/>
      </tp>
      <tp>
        <v>-4.7888999999999999</v>
        <stp/>
        <stp>BDP|4931334005506744867|22</stp>
        <stp>AVALONPH AB Equity</stp>
        <stp>CHG_PCT_YTD_RT</stp>
        <tr r="F247" s="2"/>
      </tp>
      <tp>
        <v>82365</v>
        <stp/>
        <stp>BDP|3840961470639448397|22</stp>
        <stp>ELM AB Equity</stp>
        <stp>VOLUME</stp>
        <tr r="J269" s="2"/>
      </tp>
      <tp>
        <v>12</v>
        <stp/>
        <stp>BDP|7481081270248527696|22</stp>
        <stp>RETAL AB Equity</stp>
        <stp>YEST_LAST_TRADE</stp>
        <tr r="G250" s="2"/>
      </tp>
      <tp>
        <v>75.150000000000006</v>
        <stp/>
        <stp>BDP|514114853099548290|22</stp>
        <stp>CATERING AB Equity</stp>
        <stp>YEST_LAST_TRADE</stp>
        <tr r="G37" s="2"/>
      </tp>
      <tp>
        <v>2.4538000000000002</v>
        <stp/>
        <stp>BDP|831980859592374912|22</stp>
        <stp>AHFCO AB Equity</stp>
        <stp>VWAP</stp>
        <tr r="N60" s="2"/>
      </tp>
      <tp>
        <v>44.88</v>
        <stp/>
        <stp>BDP|2453413145027600483|22</stp>
        <stp>QACCO AB Equity</stp>
        <stp>YEST_LAST_TRADE</stp>
        <tr r="G225" s="2"/>
      </tp>
      <tp>
        <v>478368</v>
        <stp/>
        <stp>BDP|6094381073063763388|22</stp>
        <stp>NIC AB Equity</stp>
        <stp>VOLUME</stp>
        <tr r="J224" s="2"/>
      </tp>
      <tp>
        <v>23.74</v>
        <stp/>
        <stp>BDP|7988738810637533266|22</stp>
        <stp>APPC AB Equity</stp>
        <stp>LAST_PRICE</stp>
        <tr r="C233" s="2"/>
        <tr r="B233" s="2"/>
      </tp>
      <tp>
        <v>14.07</v>
        <stp/>
        <stp>BDP|17126924140825089974|22</stp>
        <stp>NICEONE AB Equity</stp>
        <stp>ASK</stp>
        <tr r="R42" s="2"/>
      </tp>
      <tp>
        <v>118</v>
        <stp/>
        <stp>BDP|17913721228919760674|22</stp>
        <stp>ALMOOSA AB Equity</stp>
        <stp>LOW</stp>
        <tr r="L155" s="2"/>
      </tp>
      <tp>
        <v>132.37450000000001</v>
        <stp/>
        <stp>BDP|4256869778823032892|22</stp>
        <stp>TADAWULG AB Equity</stp>
        <stp>VWAP</stp>
        <tr r="N120" s="2"/>
      </tp>
      <tp>
        <v>6.98</v>
        <stp/>
        <stp>BDP|13965794740477978134|22</stp>
        <stp>ALISADRF AB Equity</stp>
        <stp>BID</stp>
        <tr r="Q109" s="2"/>
      </tp>
      <tp>
        <v>0</v>
        <stp/>
        <stp>BDP|10960396924482013024|22</stp>
        <stp>MULKIA AB Equity</stp>
        <stp>CHG_PCT_YTD_RT</stp>
        <tr r="F100" s="2"/>
      </tp>
      <tp>
        <v>7.7</v>
        <stp/>
        <stp>BDP|18392537722739300887|22</stp>
        <stp>BURGERIZ AB Equity</stp>
        <stp>ASK</stp>
        <tr r="R63" s="2"/>
      </tp>
      <tp>
        <v>1182396</v>
        <stp/>
        <stp>BDP|16982625332243326261|22</stp>
        <stp>BUDGET AB Equity</stp>
        <stp>VOLUME</stp>
        <tr r="J285" s="2"/>
      </tp>
      <tp>
        <v>4.6138000000000003</v>
        <stp/>
        <stp>BDP|13617630631969006270|22</stp>
        <stp>MULKIA AB Equity</stp>
        <stp>VWAP</stp>
        <tr r="N100" s="2"/>
      </tp>
      <tp>
        <v>9.5500000000000007</v>
        <stp/>
        <stp>BDP|14405761184514045121|22</stp>
        <stp>SALAMA AB Equity</stp>
        <stp>OPEN</stp>
        <tr r="K172" s="2"/>
      </tp>
      <tp>
        <v>1258470</v>
        <stp/>
        <stp>BDP|293426896176511488|22</stp>
        <stp>FPCO AB Equity</stp>
        <stp>VOLUME</stp>
        <tr r="J147" s="2"/>
      </tp>
      <tp>
        <v>36.72</v>
        <stp/>
        <stp>BDP|722860972834484430|22</stp>
        <stp>FAKEEHCA AB Equity</stp>
        <stp>LAST_PRICE</stp>
        <tr r="C157" s="2"/>
        <tr r="B157" s="2"/>
      </tp>
      <tp>
        <v>272122</v>
        <stp/>
        <stp>BDP|7099097032963219236|22</stp>
        <stp>MOUWASAT AB Equity</stp>
        <stp>VOLUME</stp>
        <tr r="J156" s="2"/>
      </tp>
      <tp>
        <v>-9.1126000000000005</v>
        <stp/>
        <stp>BDP|9395223175582852766|22</stp>
        <stp>ACE AB Equity</stp>
        <stp>CHG_PCT_YTD_RT</stp>
        <tr r="F177" s="2"/>
      </tp>
      <tp>
        <v>224877</v>
        <stp/>
        <stp>BDP|4949331444063340158|22</stp>
        <stp>MBCGROUP AB Equity</stp>
        <stp>VOLUME</stp>
        <tr r="J243" s="2"/>
      </tp>
      <tp>
        <v>5.66</v>
        <stp/>
        <stp>BDP|3783553055978375356|22</stp>
        <stp>BAAZEEM AB Equity</stp>
        <stp>LAST_PRICE</stp>
        <tr r="C48" s="2"/>
        <tr r="B48" s="2"/>
      </tp>
      <tp>
        <v>174.9</v>
        <stp/>
        <stp>BDP|4964985495422601587|22</stp>
        <stp>BUPA AB Equity</stp>
        <stp>LAST_PRICE</stp>
        <tr r="C188" s="2"/>
        <tr r="B188" s="2"/>
      </tp>
      <tp>
        <v>119</v>
        <stp/>
        <stp>BDP|15306818184751267096|22</stp>
        <stp>ALMOOSA AB Equity</stp>
        <stp>ASK</stp>
        <tr r="R155" s="2"/>
      </tp>
      <tp>
        <v>5.05</v>
        <stp/>
        <stp>BDP|14087853597201258593|22</stp>
        <stp>TAKWEEN AB Equity</stp>
        <stp>LOW</stp>
        <tr r="L218" s="2"/>
      </tp>
      <tp>
        <v>219.6</v>
        <stp/>
        <stp>BDP|11749169551672932701|22</stp>
        <stp>SADAFCO AB Equity</stp>
        <stp>BID</stp>
        <tr r="Q134" s="2"/>
      </tp>
      <tp>
        <v>12.3</v>
        <stp/>
        <stp>BDP|12302089242598526233|22</stp>
        <stp>ALABDUL AB Equity</stp>
        <stp>BID</stp>
        <tr r="Q58" s="2"/>
      </tp>
      <tp t="s">
        <v>#N/A Requesting Data...2158657293</v>
        <stp/>
        <stp>BDP|53556261631166934</stp>
        <tr r="O57" s="2"/>
      </tp>
      <tp>
        <v>2.08</v>
        <stp/>
        <stp>BDP|17957960397062520088|22</stp>
        <stp>AMERICAN AB Equity</stp>
        <stp>BID</stp>
        <tr r="Q68" s="2"/>
      </tp>
      <tp>
        <v>10.88</v>
        <stp/>
        <stp>BDP|11196837481906770783|22</stp>
        <stp>JADWAREI AB Equity</stp>
        <stp>LOW</stp>
        <tr r="L105" s="2"/>
      </tp>
      <tp>
        <v>4.17</v>
        <stp/>
        <stp>BDP|11683990710568435455|22</stp>
        <stp>FOURTHMI AB Equity</stp>
        <stp>ASK</stp>
        <tr r="R132" s="2"/>
      </tp>
      <tp>
        <v>7.68</v>
        <stp/>
        <stp>BDP|16358006214822211144|22</stp>
        <stp>BURGERIZ AB Equity</stp>
        <stp>BID</stp>
        <tr r="Q63" s="2"/>
      </tp>
      <tp>
        <v>6.71</v>
        <stp/>
        <stp>BDP|17528826394405183332|22</stp>
        <stp>NORTHCEM AB Equity</stp>
        <stp>BID</stp>
        <tr r="Q230" s="2"/>
      </tp>
      <tp>
        <v>65.211699999999993</v>
        <stp/>
        <stp>BDP|5610492146002073067|22</stp>
        <stp>ALBABTAI AB Equity</stp>
        <stp>VWAP</stp>
        <tr r="N15" s="2"/>
      </tp>
      <tp>
        <v>5.1078999999999999</v>
        <stp/>
        <stp>BDP|2105781303038054252|22</stp>
        <stp>SICOSAUD AB Equity</stp>
        <stp>VWAP</stp>
        <tr r="N113" s="2"/>
      </tp>
      <tp>
        <v>17.05</v>
        <stp/>
        <stp>BDP|1403016873618952377|22</stp>
        <stp>CENOMICE AB Equity</stp>
        <stp>OPEN</stp>
        <tr r="K259" s="2"/>
      </tp>
      <tp>
        <v>2.09</v>
        <stp/>
        <stp>BDP|17686250562641814223|22</stp>
        <stp>AMERICAN AB Equity</stp>
        <stp>ASK</stp>
        <tr r="R68" s="2"/>
      </tp>
      <tp>
        <v>8.1516000000000002</v>
        <stp/>
        <stp>BDP|5478867789419855931|22</stp>
        <stp>CHEMICAL AB Equity</stp>
        <stp>VWAP</stp>
        <tr r="N154" s="2"/>
      </tp>
      <tp>
        <v>17.0259</v>
        <stp/>
        <stp>BDP|4441743427927578083|22</stp>
        <stp>CENOMICE AB Equity</stp>
        <stp>VWAP</stp>
        <tr r="N259" s="2"/>
      </tp>
      <tp>
        <v>1.6</v>
        <stp/>
        <stp>BDP|13804817584056080091|22</stp>
        <stp>ALKATHIR AB Equity</stp>
        <stp>LOW</stp>
        <tr r="L203" s="2"/>
      </tp>
      <tp>
        <v>89.8</v>
        <stp/>
        <stp>BDP|3684515926821689789|22</stp>
        <stp>ALARABIA AB Equity</stp>
        <stp>OPEN</stp>
        <tr r="K244" s="2"/>
      </tp>
      <tp>
        <v>37</v>
        <stp/>
        <stp>BDP|7237730048917623745|22</stp>
        <stp>FAKEEHCA AB Equity</stp>
        <stp>OPEN</stp>
        <tr r="K157" s="2"/>
      </tp>
      <tp>
        <v>13.88</v>
        <stp/>
        <stp>BDP|5659891873202882854|22</stp>
        <stp>ALANDALU AB Equity</stp>
        <stp>OPEN</stp>
        <tr r="K258" s="2"/>
      </tp>
      <tp>
        <v>17.101099999999999</v>
        <stp/>
        <stp>BDP|493119234352984799|22</stp>
        <stp>SAPTCO AB Equity</stp>
        <stp>CHG_PCT_YTD_RT</stp>
        <tr r="F279" s="2"/>
      </tp>
      <tp>
        <v>109.7715</v>
        <stp/>
        <stp>BDP|10882058295964361390|22</stp>
        <stp>DALLAH AB Equity</stp>
        <stp>VWAP</stp>
        <tr r="N160" s="2"/>
      </tp>
      <tp>
        <v>5.81</v>
        <stp/>
        <stp>BDP|10513094378024244253|22</stp>
        <stp>NAJRAN AB Equity</stp>
        <stp>OPEN</stp>
        <tr r="K211" s="2"/>
      </tp>
      <tp>
        <v>23.3</v>
        <stp/>
        <stp>BDP|1049436624431016309|22</stp>
        <stp>THEEB AB Equity</stp>
        <stp>YEST_LAST_TRADE</stp>
        <tr r="G286" s="2"/>
      </tp>
      <tp>
        <v>17.920000000000002</v>
        <stp/>
        <stp>BDP|7343482318294987118|22</stp>
        <stp>MEPC AB Equity</stp>
        <stp>LAST_PRICE</stp>
        <tr r="C197" s="2"/>
        <tr r="B197" s="2"/>
      </tp>
      <tp>
        <v>18.510000000000002</v>
        <stp/>
        <stp>BDP|6475936315381757899|22</stp>
        <stp>TAIBA AB Equity</stp>
        <stp>YEST_LAST_TRADE</stp>
        <tr r="G264" s="2"/>
      </tp>
      <tp>
        <v>6.3922999999999996</v>
        <stp/>
        <stp>BDP|6901090910340193957|22</stp>
        <stp>KEC AB Equity</stp>
        <stp>CHG_PCT_YTD_RT</stp>
        <tr r="F263" s="2"/>
      </tp>
      <tp>
        <v>3.59</v>
        <stp/>
        <stp>BDP|10904170580950682683|22</stp>
        <stp>ARABSEA AB Equity</stp>
        <stp>ASK</stp>
        <tr r="R272" s="2"/>
      </tp>
      <tp>
        <v>228.7</v>
        <stp/>
        <stp>BDP|16860695844159462800|22</stp>
        <stp>MIS AB Equity</stp>
        <stp>YEST_LAST_TRADE</stp>
        <tr r="G268" s="2"/>
      </tp>
      <tp>
        <v>6.52</v>
        <stp/>
        <stp>BDP|15572271379613290584|22</stp>
        <stp>CGS AB Equity</stp>
        <stp>YEST_LAST_TRADE</stp>
        <tr r="G31" s="2"/>
      </tp>
      <tp>
        <v>14.53</v>
        <stp/>
        <stp>BDP|10181366029765596560|22</stp>
        <stp>MIAHONA AB Equity</stp>
        <stp>LOW</stp>
        <tr r="L292" s="2"/>
      </tp>
      <tp t="s">
        <v>#N/A Requesting Data...3656090866</v>
        <stp/>
        <stp>BDP|33147782160398337</stp>
        <tr r="P37" s="2"/>
      </tp>
      <tp>
        <v>21.459099999999999</v>
        <stp/>
        <stp>BDP|366236649388930492|22</stp>
        <stp>AZM AB Equity</stp>
        <stp>VWAP</stp>
        <tr r="N271" s="2"/>
      </tp>
      <tp>
        <v>90.8</v>
        <stp/>
        <stp>BDP|1850174561027258676|22</stp>
        <stp>ARABIAND AB Equity</stp>
        <stp>OPEN</stp>
        <tr r="K91" s="2"/>
      </tp>
      <tp>
        <v>17.09</v>
        <stp/>
        <stp>BDP|1966882557794442106|22</stp>
        <stp>teco AB Equity</stp>
        <stp>YEST_LAST_TRADE</stp>
        <tr r="G72" s="2"/>
      </tp>
      <tp>
        <v>204.9</v>
        <stp/>
        <stp>BDP|12312738495405323095|22</stp>
        <stp>SOLUTION AB Equity</stp>
        <stp>ASK</stp>
        <tr r="R270" s="2"/>
      </tp>
      <tp>
        <v>46814</v>
        <stp/>
        <stp>BDP|17642900365327268268|22</stp>
        <stp>ALAHLI AB Equity</stp>
        <stp>VOLUME</stp>
        <tr r="J107" s="2"/>
      </tp>
      <tp>
        <v>-2.5430999999999999</v>
        <stp/>
        <stp>BDP|10159091427160427039|22</stp>
        <stp>MAADEN AB Equity</stp>
        <stp>CHG_PCT_YTD_RT</stp>
        <tr r="F210" s="2"/>
      </tp>
      <tp>
        <v>45440</v>
        <stp/>
        <stp>BDP|12378520662000127678|22</stp>
        <stp>ALMOOSA AB Equity</stp>
        <stp>VOLUME</stp>
        <tr r="J155" s="2"/>
      </tp>
      <tp>
        <v>-0.35210000000000002</v>
        <stp/>
        <stp>BDP|34559510914030005|22</stp>
        <stp>BAAZEEM AB Equity</stp>
        <stp>CHG_PCT_1M_RT</stp>
        <tr r="E48" s="2"/>
      </tp>
      <tp>
        <v>22.95</v>
        <stp/>
        <stp>BDP|16298868063698396242|22</stp>
        <stp>SAWCEM AB Equity</stp>
        <stp>HIGH</stp>
        <tr r="M204" s="2"/>
      </tp>
      <tp>
        <v>7.3403</v>
        <stp/>
        <stp>BDP|12920952020746766345|22</stp>
        <stp>NOFOTH AB Equity</stp>
        <stp>VWAP</stp>
        <tr r="N148" s="2"/>
      </tp>
      <tp>
        <v>24.479700000000001</v>
        <stp/>
        <stp>BDP|18090535308944811131|22</stp>
        <stp>ALINMA AB Equity</stp>
        <stp>VWAP</stp>
        <tr r="N4" s="2"/>
      </tp>
      <tp>
        <v>56.5</v>
        <stp/>
        <stp>BDP|11668204879927259087|22</stp>
        <stp>ALRAMZ AB Equity</stp>
        <stp>HIGH</stp>
        <tr r="M265" s="2"/>
      </tp>
      <tp>
        <v>-3.4432999999999998</v>
        <stp/>
        <stp>BDP|947464097608274048|22</stp>
        <stp>NORTHCEM AB Equity</stp>
        <stp>CHG_PCT_1M_RT</stp>
        <tr r="E230" s="2"/>
      </tp>
      <tp>
        <v>32.04</v>
        <stp/>
        <stp>BDP|12578590575992823350|22</stp>
        <stp>NASEEJ AB Equity</stp>
        <stp>HIGH</stp>
        <tr r="M55" s="2"/>
      </tp>
      <tp>
        <v>12.22</v>
        <stp/>
        <stp>BDP|13927894092268821590|22</stp>
        <stp>PETROR AB Equity</stp>
        <stp>HIGH</stp>
        <tr r="M89" s="2"/>
      </tp>
      <tp>
        <v>4.5350000000000001</v>
        <stp/>
        <stp>BDP|7157672862564789763|22</stp>
        <stp>ALMAWARI AB Equity</stp>
        <stp>CHG_PCT_YTD_RT</stp>
        <tr r="F38" s="2"/>
      </tp>
      <tp>
        <v>49.84</v>
        <stp/>
        <stp>BDP|25221838863299525|22</stp>
        <stp>ATAA AB Equity</stp>
        <stp>OPEN</stp>
        <tr r="K75" s="2"/>
      </tp>
      <tp>
        <v>33.74</v>
        <stp/>
        <stp>BDP|7665001814992393559|22</stp>
        <stp>SISCO AB Equity</stp>
        <stp>YEST_LAST_TRADE</stp>
        <tr r="G284" s="2"/>
      </tp>
      <tp>
        <v>5.1100000000000003</v>
        <stp/>
        <stp>BDP|3173607784103673025|22</stp>
        <stp>TAKWEEN AB Equity</stp>
        <stp>LAST_PRICE</stp>
        <tr r="C218" s="2"/>
        <tr r="B218" s="2"/>
      </tp>
      <tp>
        <v>52.1</v>
        <stp/>
        <stp>BDP|9378265119228650847|22</stp>
        <stp>SABIC AB Equity</stp>
        <stp>YEST_LAST_TRADE</stp>
        <tr r="G228" s="2"/>
      </tp>
      <tp>
        <v>168.2</v>
        <stp/>
        <stp>BDP|2517845215273445100|22</stp>
        <stp>SCACO AB Equity</stp>
        <stp>YEST_LAST_TRADE</stp>
        <tr r="G28" s="2"/>
      </tp>
      <tp>
        <v>166268</v>
        <stp/>
        <stp>BDP|6301997375983643263|22</stp>
        <stp>NORTHCEM AB Equity</stp>
        <stp>VOLUME</stp>
        <tr r="J230" s="2"/>
      </tp>
      <tp>
        <v>59170</v>
        <stp/>
        <stp>BDP|2722772300243174971|22</stp>
        <stp>ASTRA AB Equity</stp>
        <stp>VOLUME</stp>
        <tr r="J27" s="2"/>
      </tp>
      <tp>
        <v>-14.437900000000001</v>
        <stp/>
        <stp>BDP|5722997858457368331|22</stp>
        <stp>EXTRA AB Equity</stp>
        <stp>CHG_PCT_YTD_RT</stp>
        <tr r="F52" s="2"/>
      </tp>
      <tp>
        <v>3.95</v>
        <stp/>
        <stp>BDP|6887826388570805428|22</stp>
        <stp>MUSHREIT AB Equity</stp>
        <stp>HIGH</stp>
        <tr r="M103" s="2"/>
      </tp>
      <tp>
        <v>13.65</v>
        <stp/>
        <stp>BDP|12241953350149744662|22</stp>
        <stp>ALANDALU AB Equity</stp>
        <stp>LOW</stp>
        <tr r="L258" s="2"/>
      </tp>
      <tp>
        <v>5.7</v>
        <stp/>
        <stp>BDP|3162290325126927075|22</stp>
        <stp>DERAYAHR AB Equity</stp>
        <stp>HIGH</stp>
        <tr r="M104" s="2"/>
      </tp>
      <tp>
        <v>11.51</v>
        <stp/>
        <stp>BDP|2774418174675919605|22</stp>
        <stp>JAZTAKAF AB Equity</stp>
        <stp>OPEN</stp>
        <tr r="K178" s="2"/>
      </tp>
      <tp>
        <v>27.399699999999999</v>
        <stp/>
        <stp>BDP|4564132946915897851|22</stp>
        <stp>ALHAMMAD AB Equity</stp>
        <stp>VWAP</stp>
        <tr r="N159" s="2"/>
      </tp>
      <tp>
        <v>4.0909000000000004</v>
        <stp/>
        <stp>BDP|14812830554276061716|22</stp>
        <stp>ABDICO AB Equity</stp>
        <stp>CHG_PCT_YTD_RT</stp>
        <tr r="F123" s="2"/>
      </tp>
      <tp>
        <v>18.47</v>
        <stp/>
        <stp>BDP|11954539745550259327|22</stp>
        <stp>ADES AB Equity</stp>
        <stp>YEST_LAST_TRADE</stp>
        <tr r="G90" s="2"/>
      </tp>
      <tp>
        <v>40.011200000000002</v>
        <stp/>
        <stp>BDP|16999429146872328474|22</stp>
        <stp>ALAMAR AB Equity</stp>
        <stp>VWAP</stp>
        <tr r="N77" s="2"/>
      </tp>
      <tp>
        <v>8.59</v>
        <stp/>
        <stp>BDP|10623184840896799756|22</stp>
        <stp>GIZACO AB Equity</stp>
        <stp>HIGH</stp>
        <tr r="M133" s="2"/>
      </tp>
      <tp>
        <v>30.273</v>
        <stp/>
        <stp>BDP|16403914418416472858|22</stp>
        <stp>BUDGET AB Equity</stp>
        <stp>VWAP</stp>
        <tr r="N285" s="2"/>
      </tp>
      <tp>
        <v>-8.5227000000000004</v>
        <stp/>
        <stp>BDP|351536653968297450|22</stp>
        <stp>ALKATHIR AB Equity</stp>
        <stp>CHG_PCT_1M_RT</stp>
        <tr r="E203" s="2"/>
      </tp>
      <tp>
        <v>6.2297000000000002</v>
        <stp/>
        <stp>BDP|16064790905592636031|22</stp>
        <stp>SMASCO AB Equity</stp>
        <stp>VWAP</stp>
        <tr r="N35" s="2"/>
      </tp>
      <tp>
        <v>18.2</v>
        <stp/>
        <stp>BDP|14413037561250873485|22</stp>
        <stp>TAPRCO AB Equity</stp>
        <stp>HIGH</stp>
        <tr r="M241" s="2"/>
      </tp>
      <tp>
        <v>5.8861999999999997</v>
        <stp/>
        <stp>BDP|11671846818295004327|22</stp>
        <stp>HB AB Equity</stp>
        <stp>CHG_PCT_1M_RT</stp>
        <tr r="E139" s="2"/>
      </tp>
      <tp>
        <v>10.1</v>
        <stp/>
        <stp>BDP|17488128525183424668|22</stp>
        <stp>BONYAN AB Equity</stp>
        <stp>OPEN</stp>
        <tr r="K114" s="2"/>
      </tp>
      <tp>
        <v>-0.17419999999999999</v>
        <stp/>
        <stp>BDP|849642135052163177|22</stp>
        <stp>ALKHABEE AB Equity</stp>
        <stp>CHG_PCT_1M_RT</stp>
        <tr r="E110" s="2"/>
      </tp>
      <tp>
        <v>2.77</v>
        <stp/>
        <stp>BDP|28586528042661155|22</stp>
        <stp>SADR AB Equity</stp>
        <stp>HIGH</stp>
        <tr r="M39" s="2"/>
      </tp>
      <tp>
        <v>27.88</v>
        <stp/>
        <stp>BDP|902377645501229772|22</stp>
        <stp>ALHAMMAD AB Equity</stp>
        <stp>YEST_LAST_TRADE</stp>
        <tr r="G159" s="2"/>
      </tp>
      <tp>
        <v>33.793100000000003</v>
        <stp/>
        <stp>BDP|4721123752065801127|22</stp>
        <stp>MIS AB Equity</stp>
        <stp>CHG_PCT_YTD_RT</stp>
        <tr r="F268" s="2"/>
      </tp>
      <tp>
        <v>11.152200000000001</v>
        <stp/>
        <stp>BDP|16074519906219560445|22</stp>
        <stp>LAZURDE AB Equity</stp>
        <stp>VWAP</stp>
        <tr r="N57" s="2"/>
      </tp>
      <tp>
        <v>-20.588200000000001</v>
        <stp/>
        <stp>BDP|2837687966492018739|22</stp>
        <stp>ALWASAIL AB Equity</stp>
        <stp>CHG_PCT_YTD_RT</stp>
        <tr r="F32" s="2"/>
      </tp>
      <tp>
        <v>5.1924999999999999</v>
        <stp/>
        <stp>BDP|9464002815359718169|22</stp>
        <stp>JAZTAKAF AB Equity</stp>
        <stp>CHG_PCT_YTD_RT</stp>
        <tr r="F178" s="2"/>
      </tp>
      <tp>
        <v>-9.4430999999999994</v>
        <stp/>
        <stp>BDP|4581275151546845065|22</stp>
        <stp>SHL AB Equity</stp>
        <stp>CHG_PCT_YTD_RT</stp>
        <tr r="F118" s="2"/>
      </tp>
      <tp>
        <v>5.05</v>
        <stp/>
        <stp>BDP|7304876859508487917|22</stp>
        <stp>MAHARAH AB Equity</stp>
        <stp>LAST_PRICE</stp>
        <tr r="B34" s="2"/>
        <tr r="C34" s="2"/>
      </tp>
      <tp>
        <v>19.329999999999998</v>
        <stp/>
        <stp>BDP|1264903149402483670|22</stp>
        <stp>SOCCO AB Equity</stp>
        <stp>YEST_LAST_TRADE</stp>
        <tr r="G200" s="2"/>
      </tp>
      <tp>
        <v>10.58</v>
        <stp/>
        <stp>BDP|16090556485851648287|22</stp>
        <stp>ZAINKSA AB Equity</stp>
        <stp>ASK</stp>
        <tr r="R276" s="2"/>
      </tp>
      <tp>
        <v>11.62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45.5</v>
        <stp/>
        <stp>BDP|16545314791074167867|22</stp>
        <stp>ALMARAI AB Equity</stp>
        <stp>ASK</stp>
        <tr r="R144" s="2"/>
      </tp>
      <tp>
        <v>37.76</v>
        <stp/>
        <stp>BDP|15898125818225611929|22</stp>
        <stp>MARAFIQ AB Equity</stp>
        <stp>BID</stp>
        <tr r="Q288" s="2"/>
      </tp>
      <tp>
        <v>9.6097000000000001</v>
        <stp/>
        <stp>BDP|10467107214357050001|22</stp>
        <stp>ARAMCO AB Equity</stp>
        <stp>CHG_PCT_YTD_RT</stp>
        <tr r="F92" s="2"/>
      </tp>
      <tp>
        <v>6.82</v>
        <stp/>
        <stp>BDP|5121690728386128587|22</stp>
        <stp>SPORTCLU AB Equity</stp>
        <stp>OPEN</stp>
        <tr r="K67" s="2"/>
      </tp>
      <tp>
        <v>147.1</v>
        <stp/>
        <stp>BDP|15464343286902176328|22</stp>
        <stp>TAWUNIYA AB Equity</stp>
        <stp>ASK</stp>
        <tr r="R183" s="2"/>
      </tp>
      <tp>
        <v>5.69</v>
        <stp/>
        <stp>BDP|13764840461657137717|22</stp>
        <stp>DERAYAHR AB Equity</stp>
        <stp>ASK</stp>
        <tr r="R104" s="2"/>
      </tp>
      <tp>
        <v>89.5</v>
        <stp/>
        <stp>BDP|10846764690207830028|22</stp>
        <stp>ALARABIA AB Equity</stp>
        <stp>LOW</stp>
        <tr r="L244" s="2"/>
      </tp>
      <tp>
        <v>16.62</v>
        <stp/>
        <stp>BDP|17453498085889413182|22</stp>
        <stp>SMCHEALT AB Equity</stp>
        <stp>LOW</stp>
        <tr r="L150" s="2"/>
      </tp>
      <tp>
        <v>13.36</v>
        <stp/>
        <stp>BDP|1055888176175773726|22</stp>
        <stp>SMARKETI AB Equity</stp>
        <stp>HIGH</stp>
        <tr r="M85" s="2"/>
      </tp>
      <tp>
        <v>4.16</v>
        <stp/>
        <stp>BDP|13108038399370484322|22</stp>
        <stp>FOURTHMI AB Equity</stp>
        <stp>LOW</stp>
        <tr r="L132" s="2"/>
      </tp>
      <tp>
        <v>-35.470100000000002</v>
        <stp/>
        <stp>BDP|14129422848331797196|22</stp>
        <stp>BUDGET AB Equity</stp>
        <stp>CHG_PCT_YTD_RT</stp>
        <tr r="F285" s="2"/>
      </tp>
      <tp>
        <v>26.710999999999999</v>
        <stp/>
        <stp>BDP|12685774559272945196|22</stp>
        <stp>GULFUNI AB Equity</stp>
        <stp>CHG_PCT_YTD_RT</stp>
        <tr r="F190" s="2"/>
      </tp>
      <tp>
        <v>290432</v>
        <stp/>
        <stp>BDP|14288108592510001564|22</stp>
        <stp>SPIMACO AB Equity</stp>
        <stp>VOLUME</stp>
        <tr r="J246" s="2"/>
      </tp>
      <tp>
        <v>-13.285</v>
        <stp/>
        <stp>BDP|14213942793498009352|22</stp>
        <stp>ARABSEA AB Equity</stp>
        <stp>CHG_PCT_YTD_RT</stp>
        <tr r="F272" s="2"/>
      </tp>
      <tp>
        <v>10.6313</v>
        <stp/>
        <stp>BDP|14208751716154767019|22</stp>
        <stp>TALEEM AB Equity</stp>
        <stp>VWAP</stp>
        <tr r="N112" s="2"/>
      </tp>
      <tp>
        <v>23.5</v>
        <stp/>
        <stp>BDP|17536263139018037235|22</stp>
        <stp>CHERRY AB Equity</stp>
        <stp>OPEN</stp>
        <tr r="K53" s="2"/>
      </tp>
      <tp>
        <v>22</v>
        <stp/>
        <stp>BDP|661353849141993545|22</stp>
        <stp>FPCO AB Equity</stp>
        <stp>LOW</stp>
        <tr r="L147" s="2"/>
      </tp>
      <tp>
        <v>135796</v>
        <stp/>
        <stp>BDP|8845409645447623675|22</stp>
        <stp>KEC AB Equity</stp>
        <stp>VOLUME</stp>
        <tr r="J263" s="2"/>
      </tp>
      <tp>
        <v>12.39</v>
        <stp/>
        <stp>BDP|468489221646584257|22</stp>
        <stp>LIVA AB Equity</stp>
        <stp>LOW</stp>
        <tr r="L173" s="2"/>
      </tp>
      <tp>
        <v>2.37</v>
        <stp/>
        <stp>BDP|1402794145532485970|22</stp>
        <stp>SIECO AB Equity</stp>
        <stp>YEST_LAST_TRADE</stp>
        <tr r="G29" s="2"/>
      </tp>
      <tp>
        <v>3.66</v>
        <stp/>
        <stp>BDP|18012290198106303392|22</stp>
        <stp>ALASEEL AB Equity</stp>
        <stp>BID</stp>
        <tr r="Q59" s="2"/>
      </tp>
      <tp>
        <v>13.32</v>
        <stp/>
        <stp>BDP|11035716665729514024|22</stp>
        <stp>GULFUNI AB Equity</stp>
        <stp>BID</stp>
        <tr r="Q190" s="2"/>
      </tp>
      <tp>
        <v>-2.4148000000000001</v>
        <stp/>
        <stp>BDP|9689539086134879950|22</stp>
        <stp>ELM AB Equity</stp>
        <stp>CHG_PCT_1M_RT</stp>
        <tr r="E269" s="2"/>
      </tp>
      <tp>
        <v>15.08</v>
        <stp/>
        <stp>BDP|11449433274452093257|22</stp>
        <stp>MIAHONA AB Equity</stp>
        <stp>BID</stp>
        <tr r="Q292" s="2"/>
      </tp>
      <tp>
        <v>90.05</v>
        <stp/>
        <stp>BDP|11371751208622449297|22</stp>
        <stp>EAT AB Equity</stp>
        <stp>YEST_LAST_TRADE</stp>
        <tr r="G277" s="2"/>
      </tp>
      <tp>
        <v>45.62</v>
        <stp/>
        <stp>BDP|13496188998135619197|22</stp>
        <stp>TAMKEEN AB Equity</stp>
        <stp>LOW</stp>
        <tr r="L36" s="2"/>
      </tp>
      <tp>
        <v>16.309999999999999</v>
        <stp/>
        <stp>BDP|10361394092303628948|22</stp>
        <stp>MEDGULF AB Equity</stp>
        <stp>LOW</stp>
        <tr r="L171" s="2"/>
      </tp>
      <tp>
        <v>58.514499999999998</v>
        <stp/>
        <stp>BDP|14153729528084202813|22</stp>
        <stp>teco AB Equity</stp>
        <stp>CHG_PCT_YTD_RT</stp>
        <tr r="F72" s="2"/>
      </tp>
      <tp>
        <v>7.0105000000000004</v>
        <stp/>
        <stp>BDP|9103185122762956468|22</stp>
        <stp>SPORTCLU AB Equity</stp>
        <stp>VWAP</stp>
        <tr r="N67" s="2"/>
      </tp>
      <tp>
        <v>29.6</v>
        <stp/>
        <stp>BDP|1328504612434583653|22</stp>
        <stp>EQUIPMEN AB Equity</stp>
        <stp>HIGH</stp>
        <tr r="M151" s="2"/>
      </tp>
      <tp>
        <v>670642</v>
        <stp/>
        <stp>BDP|13978745953791107253|22</stp>
        <stp>teco AB Equity</stp>
        <stp>VOLUME</stp>
        <tr r="J72" s="2"/>
      </tp>
      <tp>
        <v>21.07</v>
        <stp/>
        <stp>BDP|624236219119462713|22</stp>
        <stp>AZM AB Equity</stp>
        <stp>OPEN</stp>
        <tr r="K271" s="2"/>
      </tp>
      <tp>
        <v>61079</v>
        <stp/>
        <stp>BDP|13659489061675420541|22</stp>
        <stp>LEEJAM AB Equity</stp>
        <stp>VOLUME</stp>
        <tr r="J71" s="2"/>
      </tp>
      <tp>
        <v>4.8457999999999997</v>
        <stp/>
        <stp>BDP|1890188820678196629|22</stp>
        <stp>ALINMARE AB Equity</stp>
        <stp>VWAP</stp>
        <tr r="N96" s="2"/>
      </tp>
      <tp>
        <v>2380975</v>
        <stp/>
        <stp>BDP|11575719136289301044|22</stp>
        <stp>CENOMI AB Equity</stp>
        <stp>VOLUME</stp>
        <tr r="J49" s="2"/>
      </tp>
      <tp>
        <v>6.2972000000000001</v>
        <stp/>
        <stp>BDP|17647530910390992694|22</stp>
        <stp>GIZACO AB Equity</stp>
        <stp>CHG_PCT_YTD_RT</stp>
        <tr r="F133" s="2"/>
      </tp>
      <tp>
        <v>42.9</v>
        <stp/>
        <stp>BDP|12601628855622974957|22</stp>
        <stp>SALEHALR AB Equity</stp>
        <stp>LOW</stp>
        <tr r="L239" s="2"/>
      </tp>
      <tp>
        <v>16.7</v>
        <stp/>
        <stp>BDP|12036746478145095436|22</stp>
        <stp>SMCHEALT AB Equity</stp>
        <stp>BID</stp>
        <tr r="Q150" s="2"/>
      </tp>
      <tp>
        <v>162064</v>
        <stp/>
        <stp>BDP|14251429183600547890|22</stp>
        <stp>GULFUNI AB Equity</stp>
        <stp>VOLUME</stp>
        <tr r="J190" s="2"/>
      </tp>
      <tp>
        <v>0.15199999511241913</v>
        <stp/>
        <stp>BDP|7174688912242563899|22</stp>
        <stp>RJHI AB Equity</stp>
        <stp>RT_PX_CHG_PCT_1D</stp>
        <tr r="D12" s="2"/>
      </tp>
      <tp>
        <v>27.08</v>
        <stp/>
        <stp>BDP|95182479267045099|22</stp>
        <stp>ALHAMMAD AB Equity</stp>
        <stp>ASK</stp>
        <tr r="R159" s="2"/>
      </tp>
      <tp>
        <v>114</v>
        <stp/>
        <stp>BDP|7763876710298002606|22</stp>
        <stp>ALDREES AB Equity</stp>
        <stp>LAST_PRICE</stp>
        <tr r="B46" s="2"/>
        <tr r="C46" s="2"/>
      </tp>
      <tp>
        <v>-4.3510999999999997</v>
        <stp/>
        <stp>BDP|6840446009954183491|22</stp>
        <stp>MOUWASAT AB Equity</stp>
        <stp>CHG_PCT_YTD_RT</stp>
        <tr r="F156" s="2"/>
      </tp>
      <tp>
        <v>22.22</v>
        <stp/>
        <stp>BDP|8919787372312434721|22</stp>
        <stp>DERAYAH AB Equity</stp>
        <stp>LAST_PRICE</stp>
        <tr r="B116" s="2"/>
        <tr r="C116" s="2"/>
      </tp>
      <tp>
        <v>30.48</v>
        <stp/>
        <stp>BDP|2571402408919527842|22</stp>
        <stp>MESC AB Equity</stp>
        <stp>LAST_PRICE</stp>
        <tr r="C21" s="2"/>
        <tr r="B21" s="2"/>
      </tp>
      <tp>
        <v>469358</v>
        <stp/>
        <stp>BDP|5239346168186611847|22</stp>
        <stp>ACE AB Equity</stp>
        <stp>VOLUME</stp>
        <tr r="J177" s="2"/>
      </tp>
      <tp>
        <v>214941</v>
        <stp/>
        <stp>BDP|2009781087580138388|22</stp>
        <stp>SCH AB Equity</stp>
        <stp>VOLUME</stp>
        <tr r="J47" s="2"/>
      </tp>
      <tp>
        <v>24509</v>
        <stp/>
        <stp>BDP|2432691233184585640|22</stp>
        <stp>SHL AB Equity</stp>
        <stp>VOLUME</stp>
        <tr r="J118" s="2"/>
      </tp>
      <tp>
        <v>122.6</v>
        <stp/>
        <stp>BDP|8940964178005275259|22</stp>
        <stp>SAFCO AB Equity</stp>
        <stp>YEST_LAST_TRADE</stp>
        <tr r="G238" s="2"/>
      </tp>
      <tp>
        <v>7.5</v>
        <stp/>
        <stp>BDP|152693916058726753|22</stp>
        <stp>MRNA AB Equity</stp>
        <stp>LOW</stp>
        <tr r="L124" s="2"/>
      </tp>
      <tp>
        <v>31.04</v>
        <stp/>
        <stp>BDP|11104405947572676158|22</stp>
        <stp>SGS AB Equity</stp>
        <stp>YEST_LAST_TRADE</stp>
        <tr r="G281" s="2"/>
      </tp>
      <tp>
        <v>18.677299999999999</v>
        <stp/>
        <stp>BDP|4058445115600799512|22</stp>
        <stp>GIG AB Equity</stp>
        <stp>CHG_PCT_1M_RT</stp>
        <tr r="E185" s="2"/>
      </tp>
      <tp>
        <v>11.67</v>
        <stp/>
        <stp>BDP|16886859375439275646|22</stp>
        <stp>JAZTAKAF AB Equity</stp>
        <stp>BID</stp>
        <tr r="Q178" s="2"/>
      </tp>
      <tp>
        <v>214.8</v>
        <stp/>
        <stp>BDP|3787877634361477092|22</stp>
        <stp>SULAIMAN AB Equity</stp>
        <stp>HIGH</stp>
        <tr r="M153" s="2"/>
      </tp>
      <tp>
        <v>72.8</v>
        <stp/>
        <stp>BDP|7658897772501586652|22</stp>
        <stp>RESEARCH AB Equity</stp>
        <stp>HIGH</stp>
        <tr r="M242" s="2"/>
      </tp>
      <tp>
        <v>6.7239000000000004</v>
        <stp/>
        <stp>BDP|5329519534230553166|22</stp>
        <stp>ALETIHAD AB Equity</stp>
        <stp>VWAP</stp>
        <tr r="N180" s="2"/>
      </tp>
      <tp>
        <v>10.3</v>
        <stp/>
        <stp>BDP|10218217676134317186|22</stp>
        <stp>TALEEM AB Equity</stp>
        <stp>OPEN</stp>
        <tr r="K112" s="2"/>
      </tp>
      <tp>
        <v>21.42</v>
        <stp/>
        <stp>BDP|16185757910783710982|22</stp>
        <stp>AZM AB Equity</stp>
        <stp>LAST_PRICE</stp>
        <tr r="C271" s="2"/>
        <tr r="B271" s="2"/>
      </tp>
      <tp>
        <v>6.42</v>
        <stp/>
        <stp>BDP|13763884552450855466|22</stp>
        <stp>ALAHLI AB Equity</stp>
        <stp>OPEN</stp>
        <tr r="K107" s="2"/>
      </tp>
      <tp>
        <v>56.2</v>
        <stp/>
        <stp>BDP|18046325574729265267|22</stp>
        <stp>FLYNAS AB Equity</stp>
        <stp>HIGH</stp>
        <tr r="M283" s="2"/>
      </tp>
      <tp>
        <v>134991</v>
        <stp/>
        <stp>BDP|2038507653373864058|22</stp>
        <stp>RIYADHCA AB Equity</stp>
        <stp>VOLUME</stp>
        <tr r="J23" s="2"/>
      </tp>
      <tp>
        <v>180987</v>
        <stp/>
        <stp>BDP|5287973979877201412|22</stp>
        <stp>ALINMARE AB Equity</stp>
        <stp>VOLUME</stp>
        <tr r="J96" s="2"/>
      </tp>
      <tp>
        <v>13.4</v>
        <stp/>
        <stp>BDP|17551928283509668351|22</stp>
        <stp>GULFUNI AB Equity</stp>
        <stp>HIGH</stp>
        <tr r="M190" s="2"/>
      </tp>
      <tp>
        <v>8.19</v>
        <stp/>
        <stp>BDP|4228348229210352719|22</stp>
        <stp>ALRAJHI AB Equity</stp>
        <stp>LAST_PRICE</stp>
        <tr r="B98" s="2"/>
        <tr r="C98" s="2"/>
      </tp>
      <tp>
        <v>46</v>
        <stp/>
        <stp>BDP|10499156981450300509|22</stp>
        <stp>TAMKEEN AB Equity</stp>
        <stp>HIGH</stp>
        <tr r="M36" s="2"/>
      </tp>
      <tp>
        <v>9</v>
        <stp/>
        <stp>BDP|1196180211940060361|22</stp>
        <stp>MAATHER AB Equity</stp>
        <stp>LAST_PRICE</stp>
        <tr r="B106" s="2"/>
        <tr r="C106" s="2"/>
      </tp>
      <tp>
        <v>15.5</v>
        <stp/>
        <stp>BDP|3893455541843463603|22</stp>
        <stp>YNCCO AB Equity</stp>
        <stp>YEST_LAST_TRADE</stp>
        <tr r="G209" s="2"/>
      </tp>
      <tp>
        <v>12.388199999999999</v>
        <stp/>
        <stp>BDP|943425894874641188|22</stp>
        <stp>ANAAM AB Equity</stp>
        <stp>VWAP</stp>
        <tr r="N84" s="2"/>
      </tp>
      <tp>
        <v>65101</v>
        <stp/>
        <stp>BDP|6436208322122236509|22</stp>
        <stp>BCI AB Equity</stp>
        <stp>VOLUME</stp>
        <tr r="J201" s="2"/>
      </tp>
      <tp>
        <v>20.83</v>
        <stp/>
        <stp>BDP|3092668475441277657|22</stp>
        <stp>SEERA AB Equity</stp>
        <stp>YEST_LAST_TRADE</stp>
        <tr r="G74" s="2"/>
      </tp>
      <tp>
        <v>13.07</v>
        <stp/>
        <stp>BDP|17961430619015952894|22</stp>
        <stp>GULFUNI AB Equity</stp>
        <stp>LOW</stp>
        <tr r="L190" s="2"/>
      </tp>
      <tp>
        <v>11.55</v>
        <stp/>
        <stp>BDP|13075354537927336146|22</stp>
        <stp>KINGDOM AB Equity</stp>
        <stp>LOW</stp>
        <tr r="L125" s="2"/>
      </tp>
      <tp>
        <v>6.5</v>
        <stp/>
        <stp>BDP|12731130698708913162|22</stp>
        <stp>ALETIHAD AB Equity</stp>
        <stp>LOW</stp>
        <tr r="L180" s="2"/>
      </tp>
      <tp>
        <v>18.2</v>
        <stp/>
        <stp>BDP|863197662947090668|22</stp>
        <stp>TAPRCO AB Equity</stp>
        <stp>ASK</stp>
        <tr r="R241" s="2"/>
      </tp>
      <tp t="s">
        <v>#N/A Requesting Data...4202385252</v>
        <stp/>
        <stp>BDP|81658141135046692</stp>
        <tr r="H144" s="2"/>
      </tp>
      <tp>
        <v>42.951999999999998</v>
        <stp/>
        <stp>BDP|7301243948696724692|22</stp>
        <stp>ABOMOATI AB Equity</stp>
        <stp>VWAP</stp>
        <tr r="N43" s="2"/>
      </tp>
      <tp>
        <v>28.94</v>
        <stp/>
        <stp>BDP|7692388838954565713|22</stp>
        <stp>MODERNMI AB Equity</stp>
        <stp>HIGH</stp>
        <tr r="M137" s="2"/>
      </tp>
      <tp>
        <v>102.9</v>
        <stp/>
        <stp>BDP|1393122049544754666|22</stp>
        <stp>ALMAWARI AB Equity</stp>
        <stp>HIGH</stp>
        <tr r="M38" s="2"/>
      </tp>
      <tp>
        <v>8.4420999999999999</v>
        <stp/>
        <stp>BDP|10406254723692731633|22</stp>
        <stp>SPIMACO AB Equity</stp>
        <stp>CHG_PCT_YTD_RT</stp>
        <tr r="F246" s="2"/>
      </tp>
      <tp>
        <v>1.3423</v>
        <stp/>
        <stp>BDP|12530530588263601918|22</stp>
        <stp>ZAINKSA AB Equity</stp>
        <stp>CHG_PCT_YTD_RT</stp>
        <tr r="F276" s="2"/>
      </tp>
      <tp>
        <v>41807</v>
        <stp/>
        <stp>BDP|8428891449554765502|22</stp>
        <stp>SICOSAUD AB Equity</stp>
        <stp>VOLUME</stp>
        <tr r="J113" s="2"/>
      </tp>
      <tp>
        <v>45.56</v>
        <stp/>
        <stp>BDP|16645278412221706227|22</stp>
        <stp>ALMARAI AB Equity</stp>
        <stp>HIGH</stp>
        <tr r="M144" s="2"/>
      </tp>
      <tp>
        <v>22.26</v>
        <stp/>
        <stp>BDP|16688768288208696772|22</stp>
        <stp>DERAYAH AB Equity</stp>
        <stp>HIGH</stp>
        <tr r="M116" s="2"/>
      </tp>
      <tp>
        <v>-6.2142999999999997</v>
        <stp/>
        <stp>BDP|4465860115891647436|22</stp>
        <stp>SMARKETI AB Equity</stp>
        <stp>CHG_PCT_YTD_RT</stp>
        <tr r="F85" s="2"/>
      </tp>
      <tp>
        <v>-3.4314</v>
        <stp/>
        <stp>BDP|1046133224162995036|22</stp>
        <stp>MUSHREIT AB Equity</stp>
        <stp>CHG_PCT_YTD_RT</stp>
        <tr r="F103" s="2"/>
      </tp>
      <tp>
        <v>3.66</v>
        <stp/>
        <stp>BDP|13463317918863548328|22</stp>
        <stp>ALASEEL AB Equity</stp>
        <stp>LOW</stp>
        <tr r="L59" s="2"/>
      </tp>
      <tp>
        <v>12.514099999999999</v>
        <stp/>
        <stp>BDP|4651142187388705552|22</stp>
        <stp>DWF AB Equity</stp>
        <stp>CHG_PCT_1M_RT</stp>
        <tr r="E70" s="2"/>
      </tp>
      <tp>
        <v>17.53</v>
        <stp/>
        <stp>BDP|17234390573548051905|22</stp>
        <stp>ALARKAN AB Equity</stp>
        <stp>LOW</stp>
        <tr r="L255" s="2"/>
      </tp>
      <tp>
        <v>18.010000000000002</v>
        <stp/>
        <stp>BDP|16942393357997319920|22</stp>
        <stp>ALARKAN AB Equity</stp>
        <stp>BID</stp>
        <tr r="Q255" s="2"/>
      </tp>
      <tp>
        <v>-21.417899999999999</v>
        <stp/>
        <stp>BDP|7635965153883162913|22</stp>
        <stp>SEERA AB Equity</stp>
        <stp>CHG_PCT_YTD_RT</stp>
        <tr r="F74" s="2"/>
      </tp>
      <tp>
        <v>44.3</v>
        <stp/>
        <stp>BDP|17867458845252816335|22</stp>
        <stp>ALMARAI AB Equity</stp>
        <stp>LOW</stp>
        <tr r="L144" s="2"/>
      </tp>
      <tp>
        <v>-8.9626999999999999</v>
        <stp/>
        <stp>BDP|7770084227901475434|22</stp>
        <stp>NIC AB Equity</stp>
        <stp>CHG_PCT_1M_RT</stp>
        <tr r="E224" s="2"/>
      </tp>
      <tp>
        <v>47.945099999999996</v>
        <stp/>
        <stp>BDP|3143632892014888857|22</stp>
        <stp>ARABIANM AB Equity</stp>
        <stp>VWAP</stp>
        <tr r="N138" s="2"/>
      </tp>
      <tp>
        <v>54937</v>
        <stp/>
        <stp>BDP|12885944482714630378|22</stp>
        <stp>ALRAMZ AB Equity</stp>
        <stp>VOLUME</stp>
        <tr r="J265" s="2"/>
      </tp>
      <tp>
        <v>6.95</v>
        <stp/>
        <stp>BDP|9068975731459117527|22</stp>
        <stp>ALISADRF AB Equity</stp>
        <stp>OPEN</stp>
        <tr r="K109" s="2"/>
      </tp>
      <tp>
        <v>0</v>
        <stp/>
        <stp>BDP|7322185176542077363|22</stp>
        <stp>UIHC AB Equity</stp>
        <stp>RT_PX_CHG_PCT_1D</stp>
        <tr r="D119" s="2"/>
      </tp>
      <tp>
        <v>28.3</v>
        <stp/>
        <stp>BDP|17178468005867625450|22</stp>
        <stp>SRE AB Equity</stp>
        <stp>LAST_PRICE</stp>
        <tr r="C251" s="2"/>
        <tr r="B251" s="2"/>
      </tp>
      <tp>
        <v>29.72</v>
        <stp/>
        <stp>BDP|11008709370507797090|22</stp>
        <stp>YANSAB AB Equity</stp>
        <stp>OPEN</stp>
        <tr r="K205" s="2"/>
      </tp>
      <tp>
        <v>1.947100043296814</v>
        <stp/>
        <stp>BDP|1827080519546640951|22</stp>
        <stp>SPPC AB Equity</stp>
        <stp>RT_PX_CHG_PCT_1D</stp>
        <tr r="D40" s="2"/>
      </tp>
      <tp>
        <v>57.95</v>
        <stp/>
        <stp>BDP|12854892551279933210|22</stp>
        <stp>TANMIAH AB Equity</stp>
        <stp>HIGH</stp>
        <tr r="M146" s="2"/>
      </tp>
      <tp>
        <v>35338</v>
        <stp/>
        <stp>BDP|7392278544432721193|22</stp>
        <stp>ALJAZIRA AB Equity</stp>
        <stp>VOLUME</stp>
        <tr r="J102" s="2"/>
      </tp>
      <tp>
        <v>-5.2385000000000002</v>
        <stp/>
        <stp>BDP|8666371685175585762|22</stp>
        <stp>BCI AB Equity</stp>
        <stp>CHG_PCT_YTD_RT</stp>
        <tr r="F201" s="2"/>
      </tp>
      <tp>
        <v>14.26</v>
        <stp/>
        <stp>BDP|977430945459237115|22</stp>
        <stp>SAAC AB Equity</stp>
        <stp>ASK</stp>
        <tr r="R17" s="2"/>
      </tp>
      <tp>
        <v>3.68</v>
        <stp/>
        <stp>BDP|11901445635522775786|22</stp>
        <stp>ALASEEL AB Equity</stp>
        <stp>OPEN</stp>
        <tr r="K59" s="2"/>
      </tp>
      <tp>
        <v>119105</v>
        <stp/>
        <stp>BDP|2660144373358505788|22</stp>
        <stp>MUSHREIT AB Equity</stp>
        <stp>VOLUME</stp>
        <tr r="J103" s="2"/>
      </tp>
      <tp>
        <v>-8.1550999999999991</v>
        <stp/>
        <stp>BDP|8138063162336860641|22</stp>
        <stp>ELM AB Equity</stp>
        <stp>CHG_PCT_YTD_RT</stp>
        <tr r="F269" s="2"/>
      </tp>
      <tp>
        <v>205332</v>
        <stp/>
        <stp>BDP|6407298448867695803|22</stp>
        <stp>EXTRA AB Equity</stp>
        <stp>VOLUME</stp>
        <tr r="J52" s="2"/>
      </tp>
      <tp>
        <v>219.9</v>
        <stp/>
        <stp>BDP|16096234756913022978|22</stp>
        <stp>SADAFCO AB Equity</stp>
        <stp>ASK</stp>
        <tr r="R134" s="2"/>
      </tp>
      <tp>
        <v>28.26</v>
        <stp/>
        <stp>BDP|14317846069014468051|22</stp>
        <stp>SPIMACO AB Equity</stp>
        <stp>ASK</stp>
        <tr r="R246" s="2"/>
      </tp>
      <tp>
        <v>64.841499999999996</v>
        <stp/>
        <stp>BDP|8443248525622299190|22</stp>
        <stp>ENAYA AB Equity</stp>
        <stp>CHG_PCT_YTD_RT</stp>
        <tr r="F179" s="2"/>
      </tp>
      <tp>
        <v>229948</v>
        <stp/>
        <stp>BDP|6861847057510149691|22</stp>
        <stp>CITYC AB Equity</stp>
        <stp>VOLUME</stp>
        <tr r="J223" s="2"/>
      </tp>
      <tp>
        <v>10.57</v>
        <stp/>
        <stp>BDP|11562034563583691716|22</stp>
        <stp>ZAINKSA AB Equity</stp>
        <stp>BID</stp>
        <tr r="Q276" s="2"/>
      </tp>
      <tp>
        <v>6.95</v>
        <stp/>
        <stp>BDP|11508041338121497819|22</stp>
        <stp>ALISADRF AB Equity</stp>
        <stp>LOW</stp>
        <tr r="L109" s="2"/>
      </tp>
      <tp t="s">
        <v>#N/A Requesting Data...3978831693</v>
        <stp/>
        <stp>BDP|18781248635225506</stp>
        <tr r="O51" s="2"/>
      </tp>
      <tp>
        <v>204.3</v>
        <stp/>
        <stp>BDP|12573747776177565147|22</stp>
        <stp>SOLUTION AB Equity</stp>
        <stp>BID</stp>
        <tr r="Q270" s="2"/>
      </tp>
      <tp>
        <v>1.61</v>
        <stp/>
        <stp>BDP|12248478727756917772|22</stp>
        <stp>ALKATHIR AB Equity</stp>
        <stp>BID</stp>
        <tr r="Q203" s="2"/>
      </tp>
      <tp>
        <v>3.3693</v>
        <stp/>
        <stp>BDP|527408167385867604|22</stp>
        <stp>UCA AB Equity</stp>
        <stp>VWAP</stp>
        <tr r="N181" s="2"/>
      </tp>
      <tp>
        <v>8.11</v>
        <stp/>
        <stp>BDP|2748325942863433493|22</stp>
        <stp>CHEMICAL AB Equity</stp>
        <stp>OPEN</stp>
        <tr r="K154" s="2"/>
      </tp>
      <tp>
        <v>56428</v>
        <stp/>
        <stp>BDP|11529402065877662343|22</stp>
        <stp>BONYAN AB Equity</stp>
        <stp>VOLUME</stp>
        <tr r="J114" s="2"/>
      </tp>
      <tp>
        <v>-0.67059999704360962</v>
        <stp/>
        <stp>BDP|9842266598961926066|22</stp>
        <stp>SIIG AB Equity</stp>
        <stp>RT_PX_CHG_PCT_1D</stp>
        <tr r="D227" s="2"/>
      </tp>
      <tp>
        <v>19.399999999999999</v>
        <stp/>
        <stp>BDP|18078319685152545168|22</stp>
        <stp>BSF AB Equity</stp>
        <stp>LAST_PRICE</stp>
        <tr r="B10" s="2"/>
        <tr r="C10" s="2"/>
      </tp>
      <tp>
        <v>2202203</v>
        <stp/>
        <stp>BDP|322737586835829511|22</stp>
        <stp>ARNB AB Equity</stp>
        <stp>VOLUME</stp>
        <tr r="J8" s="2"/>
      </tp>
      <tp>
        <v>4.62</v>
        <stp/>
        <stp>BDP|12144460243911193280|22</stp>
        <stp>MULKIA AB Equity</stp>
        <stp>OPEN</stp>
        <tr r="K100" s="2"/>
      </tp>
      <tp>
        <v>2.2408999999999999</v>
        <stp/>
        <stp>BDP|13169642393648132253|22</stp>
        <stp>ABDICO AB Equity</stp>
        <stp>VWAP</stp>
        <tr r="N123" s="2"/>
      </tp>
      <tp>
        <v>-0.79720002412796021</v>
        <stp/>
        <stp>BDP|3444125832289542550|22</stp>
        <stp>RIBL AB Equity</stp>
        <stp>RT_PX_CHG_PCT_1D</stp>
        <tr r="D9" s="2"/>
      </tp>
      <tp>
        <v>2.23</v>
        <stp/>
        <stp>BDP|13477096543239853734|22</stp>
        <stp>ABDICO AB Equity</stp>
        <stp>OPEN</stp>
        <tr r="K123" s="2"/>
      </tp>
      <tp>
        <v>17.09</v>
        <stp/>
        <stp>BDP|691035566084286496|22</stp>
        <stp>CENOMICE AB Equity</stp>
        <stp>LAST_PRICE</stp>
        <tr r="C259" s="2"/>
        <tr r="B259" s="2"/>
      </tp>
      <tp>
        <v>13.23</v>
        <stp/>
        <stp>BDP|810482727086017331|22</stp>
        <stp>WATAN AB Equity</stp>
        <stp>OPEN</stp>
        <tr r="K165" s="2"/>
      </tp>
      <tp>
        <v>190840</v>
        <stp/>
        <stp>BDP|8295717179045169999|22</stp>
        <stp>SMARKETI AB Equity</stp>
        <stp>VOLUME</stp>
        <tr r="J85" s="2"/>
      </tp>
      <tp>
        <v>5.52</v>
        <stp/>
        <stp>BDP|4070153270543273586|22</stp>
        <stp>CMCER AB Equity</stp>
        <stp>YEST_LAST_TRADE</stp>
        <tr r="G161" s="2"/>
      </tp>
      <tp>
        <v>12.03</v>
        <stp/>
        <stp>BDP|17317442671134864447|22</stp>
        <stp>ALLIANZ AB Equity</stp>
        <stp>HIGH</stp>
        <tr r="M175" s="2"/>
      </tp>
      <tp>
        <v>126469</v>
        <stp/>
        <stp>BDP|6980762371331642710|22</stp>
        <stp>SAL AB Equity</stp>
        <stp>VOLUME</stp>
        <tr r="J282" s="2"/>
      </tp>
      <tp>
        <v>24.492000000000001</v>
        <stp/>
        <stp>BDP|8476638551853110509|22</stp>
        <stp>MIS AB Equity</stp>
        <stp>CHG_PCT_1M_RT</stp>
        <tr r="E268" s="2"/>
      </tp>
      <tp>
        <v>28.1</v>
        <stp/>
        <stp>BDP|11974532408744814094|22</stp>
        <stp>SPIMACO AB Equity</stp>
        <stp>LOW</stp>
        <tr r="L246" s="2"/>
      </tp>
      <tp>
        <v>122.9</v>
        <stp/>
        <stp>BDP|16317307780956140637|22</stp>
        <stp>LUBEREF AB Equity</stp>
        <stp>LOW</stp>
        <tr r="L235" s="2"/>
      </tp>
      <tp>
        <v>338351</v>
        <stp/>
        <stp>BDP|11892314307886925696|22</stp>
        <stp>ATTMCO AB Equity</stp>
        <stp>VOLUME</stp>
        <tr r="J131" s="2"/>
      </tp>
      <tp>
        <v>70271</v>
        <stp/>
        <stp>BDP|10670600124161719589|22</stp>
        <stp>ALAMAR AB Equity</stp>
        <stp>VOLUME</stp>
        <tr r="J77" s="2"/>
      </tp>
      <tp>
        <v>62.75</v>
        <stp/>
        <stp>BDP|1204733751421972655|22</stp>
        <stp>MOUWASAT AB Equity</stp>
        <stp>OPEN</stp>
        <tr r="K156" s="2"/>
      </tp>
      <tp>
        <v>203.6</v>
        <stp/>
        <stp>BDP|17533149673652015432|22</stp>
        <stp>SOLUTION AB Equity</stp>
        <stp>LOW</stp>
        <tr r="L270" s="2"/>
      </tp>
      <tp>
        <v>2.3991000652313232</v>
        <stp/>
        <stp>BDP|16308442300163619890|22</stp>
        <stp>teco AB Equity</stp>
        <stp>RT_PX_CHG_PCT_1D</stp>
        <tr r="D72" s="2"/>
      </tp>
      <tp>
        <v>6.5</v>
        <stp/>
        <stp>BDP|4059862992150892192|22</stp>
        <stp>ALETIHAD AB Equity</stp>
        <stp>OPEN</stp>
        <tr r="K180" s="2"/>
      </tp>
      <tp>
        <v>8.8699999999999992</v>
        <stp/>
        <stp>BDP|8368975024657510386|22</stp>
        <stp>CHEMANOL AB Equity</stp>
        <stp>OPEN</stp>
        <tr r="K234" s="2"/>
      </tp>
      <tp>
        <v>-0.93290001153945923</v>
        <stp/>
        <stp>BDP|1343737051384302611|22</stp>
        <stp>ZIIC AB Equity</stp>
        <stp>RT_PX_CHG_PCT_1D</stp>
        <tr r="D221" s="2"/>
      </tp>
      <tp>
        <v>1.3557000160217285</v>
        <stp/>
        <stp>BDP|4659889606011418188|22</stp>
        <stp>UCIC AB Equity</stp>
        <stp>RT_PX_CHG_PCT_1D</stp>
        <tr r="D194" s="2"/>
      </tp>
      <tp>
        <v>-1.9111000299453735</v>
        <stp/>
        <stp>BDP|1260910138998868686|22</stp>
        <stp>SACO AB Equity</stp>
        <stp>RT_PX_CHG_PCT_1D</stp>
        <tr r="D45" s="2"/>
      </tp>
      <tp>
        <v>7.21</v>
        <stp/>
        <stp>BDP|400369691931177649|22</stp>
        <stp>ALMAJDIA AB Equity</stp>
        <stp>LAST_PRICE</stp>
        <tr r="B261" s="2"/>
        <tr r="C261" s="2"/>
      </tp>
      <tp>
        <v>560485</v>
        <stp/>
        <stp>BDP|1320358586505748885|22</stp>
        <stp>GAS AB Equity</stp>
        <stp>VOLUME</stp>
        <tr r="J30" s="2"/>
      </tp>
      <tp>
        <v>-17.449200000000001</v>
        <stp/>
        <stp>BDP|4787886023302143520|22</stp>
        <stp>BUILDSTA AB Equity</stp>
        <stp>CHG_PCT_YTD_RT</stp>
        <tr r="F44" s="2"/>
      </tp>
      <tp>
        <v>128121</v>
        <stp/>
        <stp>BDP|8878107926600441009|22</stp>
        <stp>DERAYAHR AB Equity</stp>
        <stp>VOLUME</stp>
        <tr r="J104" s="2"/>
      </tp>
      <tp>
        <v>6.74</v>
        <stp/>
        <stp>BDP|2397490371341598283|22</stp>
        <stp>TAACO AB Equity</stp>
        <stp>YEST_LAST_TRADE</stp>
        <tr r="G141" s="2"/>
      </tp>
      <tp>
        <v>16.399999999999999</v>
        <stp/>
        <stp>BDP|15299397957007122107|22</stp>
        <stp>MEDGULF AB Equity</stp>
        <stp>ASK</stp>
        <tr r="R171" s="2"/>
      </tp>
      <tp>
        <v>45.48</v>
        <stp/>
        <stp>BDP|14001319397997972473|22</stp>
        <stp>ALMARAI AB Equity</stp>
        <stp>BID</stp>
        <tr r="Q144" s="2"/>
      </tp>
      <tp>
        <v>118.2</v>
        <stp/>
        <stp>BDP|16344568031301087942|22</stp>
        <stp>ALMOOSA AB Equity</stp>
        <stp>BID</stp>
        <tr r="Q155" s="2"/>
      </tp>
      <tp>
        <v>22.11</v>
        <stp/>
        <stp>BDP|15182389491500063153|22</stp>
        <stp>ALOMRAN AB Equity</stp>
        <stp>BID</stp>
        <tr r="Q25" s="2"/>
      </tp>
      <tp t="s">
        <v>#N/A Requesting Data...4104093252</v>
        <stp/>
        <stp>BDP|20551934396055571</stp>
        <tr r="I118" s="2"/>
      </tp>
      <tp>
        <v>-14.3736</v>
        <stp/>
        <stp>BDP|10129568460076556199|22</stp>
        <stp>FLYNAS AB Equity</stp>
        <stp>CHG_PCT_YTD_RT</stp>
        <tr r="F283" s="2"/>
      </tp>
      <tp>
        <v>78.3</v>
        <stp/>
        <stp>BDP|371782189966028029|22</stp>
        <stp>LEEJAM AB Equity</stp>
        <stp>LOW</stp>
        <tr r="L71" s="2"/>
      </tp>
      <tp>
        <v>61.55</v>
        <stp/>
        <stp>BDP|15526188394556721200|22</stp>
        <stp>ALMUNAJE AB Equity</stp>
        <stp>BID</stp>
        <tr r="Q87" s="2"/>
      </tp>
      <tp>
        <v>32.74</v>
        <stp/>
        <stp>BDP|16783188975887417457|22</stp>
        <stp>HB AB Equity</stp>
        <stp>LAST_PRICE</stp>
        <tr r="C139" s="2"/>
        <tr r="B139" s="2"/>
      </tp>
      <tp>
        <v>120.5</v>
        <stp/>
        <stp>BDP|6450049303514015053|22</stp>
        <stp>RIYADHCA AB Equity</stp>
        <stp>HIGH</stp>
        <tr r="M23" s="2"/>
      </tp>
      <tp>
        <v>13.93</v>
        <stp/>
        <stp>BDP|12068993214355502843|22</stp>
        <stp>ALANDALU AB Equity</stp>
        <stp>ASK</stp>
        <tr r="R258" s="2"/>
      </tp>
      <tp>
        <v>7.48</v>
        <stp/>
        <stp>BDP|7548319690680849533|22</stp>
        <stp>BURGERIZ AB Equity</stp>
        <stp>OPEN</stp>
        <tr r="K63" s="2"/>
      </tp>
      <tp>
        <v>6.45</v>
        <stp/>
        <stp>BDP|373982309560196016|22</stp>
        <stp>ALAHLI AB Equity</stp>
        <stp>ASK</stp>
        <tr r="R107" s="2"/>
      </tp>
      <tp>
        <v>13.808999999999999</v>
        <stp/>
        <stp>BDP|16674855498817972737|22</stp>
        <stp>SHAKER AB Equity</stp>
        <stp>VWAP</stp>
        <tr r="N18" s="2"/>
      </tp>
      <tp>
        <v>14.5</v>
        <stp/>
        <stp>BDP|14898557607616215713|22</stp>
        <stp>CENOMI AB Equity</stp>
        <stp>OPEN</stp>
        <tr r="K49" s="2"/>
      </tp>
      <tp>
        <v>23.773900000000001</v>
        <stp/>
        <stp>BDP|18222273025048665438|22</stp>
        <stp>CHERRY AB Equity</stp>
        <stp>VWAP</stp>
        <tr r="N53" s="2"/>
      </tp>
      <tp>
        <v>-0.88840001821517944</v>
        <stp/>
        <stp>BDP|41055299746890319|22</stp>
        <stp>EAT AB Equity</stp>
        <stp>RT_PX_CHG_PCT_1D</stp>
        <tr r="D277" s="2"/>
      </tp>
      <tp>
        <v>11.08</v>
        <stp/>
        <stp>BDP|16806390523356700193|22</stp>
        <stp>LAZURDE AB Equity</stp>
        <stp>OPEN</stp>
        <tr r="K57" s="2"/>
      </tp>
      <tp>
        <v>-6.8451000000000004</v>
        <stp/>
        <stp>BDP|3209313960502877623|22</stp>
        <stp>CATERING AB Equity</stp>
        <stp>CHG_PCT_YTD_RT</stp>
        <tr r="F37" s="2"/>
      </tp>
      <tp>
        <v>26.2376</v>
        <stp/>
        <stp>BDP|4908196525849827982|22</stp>
        <stp>SICOSAUD AB Equity</stp>
        <stp>CHG_PCT_YTD_RT</stp>
        <tr r="F113" s="2"/>
      </tp>
      <tp>
        <v>-17.026800000000001</v>
        <stp/>
        <stp>BDP|6510327284443351184|22</stp>
        <stp>BURGERIZ AB Equity</stp>
        <stp>CHG_PCT_YTD_RT</stp>
        <tr r="F63" s="2"/>
      </tp>
      <tp>
        <v>7.2336</v>
        <stp/>
        <stp>BDP|213650297395026410|22</stp>
        <stp>AMANA AB Equity</stp>
        <stp>VWAP</stp>
        <tr r="N176" s="2"/>
      </tp>
      <tp>
        <v>1806511</v>
        <stp/>
        <stp>BDP|1276571206555973350|22</stp>
        <stp>EEC AB Equity</stp>
        <stp>VOLUME</stp>
        <tr r="J274" s="2"/>
      </tp>
      <tp>
        <v>130.80000000000001</v>
        <stp/>
        <stp>BDP|7799244871410648838|22</stp>
        <stp>ALMAJED AB Equity</stp>
        <stp>LAST_PRICE</stp>
        <tr r="C163" s="2"/>
        <tr r="B163" s="2"/>
      </tp>
      <tp>
        <v>28.22</v>
        <stp/>
        <stp>BDP|17855924158143853910|22</stp>
        <stp>SPIMACO AB Equity</stp>
        <stp>BID</stp>
        <tr r="Q246" s="2"/>
      </tp>
      <tp>
        <v>3.57</v>
        <stp/>
        <stp>BDP|11279455940818356993|22</stp>
        <stp>ARABSEA AB Equity</stp>
        <stp>BID</stp>
        <tr r="Q272" s="2"/>
      </tp>
      <tp>
        <v>22.95</v>
        <stp/>
        <stp>BDP|490645444684212718|22</stp>
        <stp>SAWCEM AB Equity</stp>
        <stp>ASK</stp>
        <tr r="R204" s="2"/>
      </tp>
      <tp>
        <v>227</v>
        <stp/>
        <stp>BDP|3589200989074012361|22</stp>
        <stp>EASTPIPE AB Equity</stp>
        <stp>HIGH</stp>
        <tr r="M217" s="2"/>
      </tp>
      <tp>
        <v>61.9</v>
        <stp/>
        <stp>BDP|5203347013601115381|22</stp>
        <stp>ALMUNAJE AB Equity</stp>
        <stp>OPEN</stp>
        <tr r="K87" s="2"/>
      </tp>
      <tp>
        <v>7.15</v>
        <stp/>
        <stp>BDP|8491152332945984959|22</stp>
        <stp>ALMAJDIA AB Equity</stp>
        <stp>OPEN</stp>
        <tr r="K261" s="2"/>
      </tp>
      <tp>
        <v>14.97</v>
        <stp/>
        <stp>BDP|465930613717294163|22</stp>
        <stp>SHL AB Equity</stp>
        <stp>OPEN</stp>
        <tr r="K118" s="2"/>
      </tp>
      <tp>
        <v>13.818</v>
        <stp/>
        <stp>BDP|7737953137380415854|22</stp>
        <stp>ALANDALU AB Equity</stp>
        <stp>VWAP</stp>
        <tr r="N258" s="2"/>
      </tp>
      <tp>
        <v>39.700000000000003</v>
        <stp/>
        <stp>BDP|11824300056671392086|22</stp>
        <stp>ALAMAR AB Equity</stp>
        <stp>OPEN</stp>
        <tr r="K77" s="2"/>
      </tp>
      <tp>
        <v>6.87</v>
        <stp/>
        <stp>BDP|16395708421230959054|22</stp>
        <stp>ALSAIF AB Equity</stp>
        <stp>HIGH</stp>
        <tr r="M50" s="2"/>
      </tp>
      <tp>
        <v>7.0317001342773438</v>
        <stp/>
        <stp>BDP|2212611279237021140|22</stp>
        <stp>SIDC AB Equity</stp>
        <stp>RT_PX_CHG_PCT_1D</stp>
        <tr r="D56" s="2"/>
      </tp>
      <tp>
        <v>61056</v>
        <stp/>
        <stp>BDP|880663545393959492|22</stp>
        <stp>NOFOTH AB Equity</stp>
        <stp>VOLUME</stp>
        <tr r="J148" s="2"/>
      </tp>
      <tp>
        <v>-0.625</v>
        <stp/>
        <stp>BDP|716696927851119562|22</stp>
        <stp>SIPCHEM AB Equity</stp>
        <stp>RT_PX_CHG_PCT_1D</stp>
        <tr r="D236" s="2"/>
      </tp>
      <tp>
        <v>9.6898999999999997</v>
        <stp/>
        <stp>BDP|15356470148729481075|22</stp>
        <stp>SALAMA AB Equity</stp>
        <stp>VWAP</stp>
        <tr r="N172" s="2"/>
      </tp>
      <tp>
        <v>178864</v>
        <stp/>
        <stp>BDP|9098567437367876846|22</stp>
        <stp>ALMASARA AB Equity</stp>
        <stp>VOLUME</stp>
        <tr r="J78" s="2"/>
      </tp>
      <tp>
        <v>-5.6355000000000004</v>
        <stp/>
        <stp>BDP|8542133904848996946|22</stp>
        <stp>ALMASARA AB Equity</stp>
        <stp>CHG_PCT_YTD_RT</stp>
        <tr r="F78" s="2"/>
      </tp>
      <tp>
        <v>5.0297000000000001</v>
        <stp/>
        <stp>BDP|11723772729552353693|22</stp>
        <stp>RYDREIT AB Equity</stp>
        <stp>VWAP</stp>
        <tr r="N111" s="2"/>
      </tp>
      <tp>
        <v>114.7</v>
        <stp/>
        <stp>BDP|14587675454919238113|22</stp>
        <stp>ALDREES AB Equity</stp>
        <stp>OPEN</stp>
        <tr r="K46" s="2"/>
      </tp>
      <tp>
        <v>10.43</v>
        <stp/>
        <stp>BDP|5712238589427878027|22</stp>
        <stp>SAICO AB Equity</stp>
        <stp>YEST_LAST_TRADE</stp>
        <tr r="G186" s="2"/>
      </tp>
      <tp>
        <v>29.28</v>
        <stp/>
        <stp>BDP|647374276552875409|22</stp>
        <stp>EQUIPMEN AB Equity</stp>
        <stp>YEST_LAST_TRADE</stp>
        <tr r="G151" s="2"/>
      </tp>
      <tp>
        <v>5.6054000000000004</v>
        <stp/>
        <stp>BDP|12696812337500461243|22</stp>
        <stp>BAAZEEM AB Equity</stp>
        <stp>VWAP</stp>
        <tr r="N48" s="2"/>
      </tp>
      <tp>
        <v>10</v>
        <stp/>
        <stp>BDP|17304244038397757864|22</stp>
        <stp>NAYIFAT AB Equity</stp>
        <stp>HIGH</stp>
        <tr r="M121" s="2"/>
      </tp>
      <tp>
        <v>42.02</v>
        <stp/>
        <stp>BDP|14663322119523404718|22</stp>
        <stp>YAMAMAH AB Equity</stp>
        <stp>ASK</stp>
        <tr r="R214" s="2"/>
      </tp>
      <tp>
        <v>15.1</v>
        <stp/>
        <stp>BDP|10512318137737631687|22</stp>
        <stp>MIAHONA AB Equity</stp>
        <stp>ASK</stp>
        <tr r="R292" s="2"/>
      </tp>
      <tp>
        <v>5.1100000000000003</v>
        <stp/>
        <stp>BDP|17405628635996156198|22</stp>
        <stp>TAKWEEN AB Equity</stp>
        <stp>BID</stp>
        <tr r="Q218" s="2"/>
      </tp>
      <tp>
        <v>45.86</v>
        <stp/>
        <stp>BDP|16923275686510004953|22</stp>
        <stp>TAMKEEN AB Equity</stp>
        <stp>BID</stp>
        <tr r="Q36" s="2"/>
      </tp>
      <tp t="s">
        <v>#N/A Requesting Data...3261958488</v>
        <stp/>
        <stp>BDP|55066707360227779</stp>
        <tr r="X150" s="2"/>
      </tp>
      <tp>
        <v>2.7624</v>
        <stp/>
        <stp>BDP|17151440504332282614|22</stp>
        <stp>ALRAMZ AB Equity</stp>
        <stp>CHG_PCT_YTD_RT</stp>
        <tr r="F265" s="2"/>
      </tp>
      <tp>
        <v>102490</v>
        <stp/>
        <stp>BDP|17275441560523051767|22</stp>
        <stp>ALSAIF AB Equity</stp>
        <stp>VOLUME</stp>
        <tr r="J50" s="2"/>
      </tp>
      <tp>
        <v>-9.6883999999999997</v>
        <stp/>
        <stp>BDP|13093001304275935758|22</stp>
        <stp>NASEEJ AB Equity</stp>
        <stp>CHG_PCT_YTD_RT</stp>
        <tr r="F55" s="2"/>
      </tp>
      <tp>
        <v>91.634100000000004</v>
        <stp/>
        <stp>BDP|7677868965926831365|22</stp>
        <stp>ALARABIA AB Equity</stp>
        <stp>VWAP</stp>
        <tr r="N244" s="2"/>
      </tp>
      <tp>
        <v>22.84</v>
        <stp/>
        <stp>BDP|13798021072473631527|22</stp>
        <stp>MBCGROUP AB Equity</stp>
        <stp>BID</stp>
        <tr r="Q243" s="2"/>
      </tp>
      <tp>
        <v>155</v>
        <stp/>
        <stp>BDP|17861133612588551483|22</stp>
        <stp>JAMJOOMP AB Equity</stp>
        <stp>ASK</stp>
        <tr r="R248" s="2"/>
      </tp>
      <tp>
        <v>27.86</v>
        <stp/>
        <stp>BDP|6095312159358857549|22</stp>
        <stp>ALHAMMAD AB Equity</stp>
        <stp>OPEN</stp>
        <tr r="K159" s="2"/>
      </tp>
      <tp>
        <v>12.8</v>
        <stp/>
        <stp>BDP|15998200320664545871|22</stp>
        <stp>SMARKETI AB Equity</stp>
        <stp>LOW</stp>
        <tr r="L85" s="2"/>
      </tp>
      <tp>
        <v>59.35</v>
        <stp/>
        <stp>BDP|17406545415837079718|22</stp>
        <stp>MAADEN AB Equity</stp>
        <stp>OPEN</stp>
        <tr r="K210" s="2"/>
      </tp>
      <tp>
        <v>25.18</v>
        <stp/>
        <stp>BDP|14281267633460657814|22</stp>
        <stp>OBEKAN AB Equity</stp>
        <stp>OPEN</stp>
        <tr r="K24" s="2"/>
      </tp>
      <tp>
        <v>25.286200000000001</v>
        <stp/>
        <stp>BDP|17683932345370090670|22</stp>
        <stp>OBEKAN AB Equity</stp>
        <stp>VWAP</stp>
        <tr r="N24" s="2"/>
      </tp>
      <tp>
        <v>-0.85780000686645508</v>
        <stp/>
        <stp>BDP|4114001437313652103|22</stp>
        <stp>SABB AB Equity</stp>
        <stp>RT_PX_CHG_PCT_1D</stp>
        <tr r="D7" s="2"/>
      </tp>
      <tp>
        <v>1.6378999948501587</v>
        <stp/>
        <stp>BDP|8558686038681233972|22</stp>
        <stp>SAGR AB Equity</stp>
        <stp>RT_PX_CHG_PCT_1D</stp>
        <tr r="D184" s="2"/>
      </tp>
      <tp>
        <v>-1.1110999584197998</v>
        <stp/>
        <stp>BDP|5908974369409288381|22</stp>
        <stp>SECO AB Equity</stp>
        <stp>RT_PX_CHG_PCT_1D</stp>
        <tr r="D291" s="2"/>
      </tp>
      <tp>
        <v>11.77</v>
        <stp/>
        <stp>BDP|13064348468118452853|22</stp>
        <stp>KINGDOM AB Equity</stp>
        <stp>HIGH</stp>
        <tr r="M125" s="2"/>
      </tp>
      <tp>
        <v>16.75</v>
        <stp/>
        <stp>BDP|6669636908382390929|22</stp>
        <stp>JARIR AB Equity</stp>
        <stp>YEST_LAST_TRADE</stp>
        <tr r="G51" s="2"/>
      </tp>
      <tp>
        <v>22.11</v>
        <stp/>
        <stp>BDP|7541956765637998356|22</stp>
        <stp>ALOMRAN AB Equity</stp>
        <stp>LAST_PRICE</stp>
        <tr r="C25" s="2"/>
        <tr r="B25" s="2"/>
      </tp>
      <tp>
        <v>113.9251</v>
        <stp/>
        <stp>BDP|14477167756565731034|22</stp>
        <stp>ALDREES AB Equity</stp>
        <stp>VWAP</stp>
        <tr r="N46" s="2"/>
      </tp>
      <tp>
        <v>5.6</v>
        <stp/>
        <stp>BDP|14266047750361505106|22</stp>
        <stp>BAAZEEM AB Equity</stp>
        <stp>BID</stp>
        <tr r="Q48" s="2"/>
      </tp>
      <tp>
        <v>43.5</v>
        <stp/>
        <stp>BDP|17045287010649567094|22</stp>
        <stp>ALDAWAA AB Equity</stp>
        <stp>LOW</stp>
        <tr r="L81" s="2"/>
      </tp>
      <tp>
        <v>5.66</v>
        <stp/>
        <stp>BDP|17340571531578185846|22</stp>
        <stp>BAAZEEM AB Equity</stp>
        <stp>ASK</stp>
        <tr r="R48" s="2"/>
      </tp>
      <tp>
        <v>22.85</v>
        <stp/>
        <stp>BDP|14022405863463013588|22</stp>
        <stp>MBCGROUP AB Equity</stp>
        <stp>ASK</stp>
        <tr r="R243" s="2"/>
      </tp>
      <tp>
        <v>4.88</v>
        <stp/>
        <stp>BDP|7601597036283351988|22</stp>
        <stp>BINDAWOO AB Equity</stp>
        <stp>OPEN</stp>
        <tr r="K80" s="2"/>
      </tp>
      <tp>
        <v>10799.92</v>
        <stp/>
        <stp>BDP|12893177335942487922|22</stp>
        <stp>SASEIDX Index</stp>
        <stp>LAST_PRICE</stp>
        <tr r="B2" s="2"/>
        <tr r="C2" s="2"/>
      </tp>
      <tp>
        <v>4.87</v>
        <stp/>
        <stp>BDP|4733732774548197128|22</stp>
        <stp>ALINMARE AB Equity</stp>
        <stp>OPEN</stp>
        <tr r="K96" s="2"/>
      </tp>
      <tp>
        <v>13.13</v>
        <stp/>
        <stp>BDP|17777236503606837231|22</stp>
        <stp>SMARKETI AB Equity</stp>
        <stp>BID</stp>
        <tr r="Q85" s="2"/>
      </tp>
      <tp>
        <v>22.78</v>
        <stp/>
        <stp>BDP|17454044021298338597|22</stp>
        <stp>MBCGROUP AB Equity</stp>
        <stp>LOW</stp>
        <tr r="L243" s="2"/>
      </tp>
      <tp>
        <v>43.98</v>
        <stp/>
        <stp>BDP|5606614418981097241|22</stp>
        <stp>BUILDSTA AB Equity</stp>
        <stp>OPEN</stp>
        <tr r="K44" s="2"/>
      </tp>
      <tp>
        <v>2.0499999999999998</v>
        <stp/>
        <stp>BDP|4150169484720735687|22</stp>
        <stp>AMERICAN AB Equity</stp>
        <stp>OPEN</stp>
        <tr r="K68" s="2"/>
      </tp>
      <tp>
        <v>20.293399999999998</v>
        <stp/>
        <stp>BDP|17740432292200006554|22</stp>
        <stp>ALINMA AB Equity</stp>
        <stp>CHG_PCT_YTD_RT</stp>
        <tr r="F4" s="2"/>
      </tp>
      <tp>
        <v>14.62</v>
        <stp/>
        <stp>BDP|8782113631725587857|22</stp>
        <stp>SIPCHEM AB Equity</stp>
        <stp>HIGH</stp>
        <tr r="M236" s="2"/>
      </tp>
      <tp>
        <v>0.95240002870559692</v>
        <stp/>
        <stp>BDP|3532935840452162307|22</stp>
        <stp>ZOUJAJ AB Equity</stp>
        <stp>RT_PX_CHG_PCT_1D</stp>
        <tr r="D220" s="2"/>
      </tp>
      <tp>
        <v>347060</v>
        <stp/>
        <stp>BDP|1485518698763124491|22</stp>
        <stp>SAPTCO AB Equity</stp>
        <stp>VOLUME</stp>
        <tr r="J279" s="2"/>
      </tp>
      <tp>
        <v>28.7973</v>
        <stp/>
        <stp>BDP|10552787106038708382|22</stp>
        <stp>MODERNMI AB Equity</stp>
        <stp>VWAP</stp>
        <tr r="N137" s="2"/>
      </tp>
      <tp>
        <v>14.96</v>
        <stp/>
        <stp>BDP|5147365779229791381|22</stp>
        <stp>SHL AB Equity</stp>
        <stp>LOW</stp>
        <tr r="L118" s="2"/>
      </tp>
      <tp>
        <v>11.01</v>
        <stp/>
        <stp>BDP|13608282782989775615|22</stp>
        <stp>JADWAREI AB Equity</stp>
        <stp>HIGH</stp>
        <tr r="M105" s="2"/>
      </tp>
      <tp>
        <v>13.55</v>
        <stp/>
        <stp>BDP|6238143221857513324|22</stp>
        <stp>SHAKER AB Equity</stp>
        <stp>LOW</stp>
        <tr r="L18" s="2"/>
      </tp>
      <tp>
        <v>506001</v>
        <stp/>
        <stp>BDP|9460641544870056564|22</stp>
        <stp>THIMAR AB Equity</stp>
        <stp>VOLUME</stp>
        <tr r="J83" s="2"/>
      </tp>
      <tp>
        <v>23.48</v>
        <stp/>
        <stp>BDP|9155775564021801350|22</stp>
        <stp>CHERRY AB Equity</stp>
        <stp>LOW</stp>
        <tr r="L53" s="2"/>
      </tp>
      <tp>
        <v>23.16</v>
        <stp/>
        <stp>BDP|9131826131192235253|22</stp>
        <stp>SCH AB Equity</stp>
        <stp>LOW</stp>
        <tr r="L47" s="2"/>
      </tp>
      <tp t="s">
        <v>#N/A Requesting Data...3429230115</v>
        <stp/>
        <stp>BDP|245781037900618122</stp>
        <tr r="T216" s="2"/>
      </tp>
      <tp>
        <v>6.7</v>
        <stp/>
        <stp>BDP|3510287496786767220|22</stp>
        <stp>NORTHCEM AB Equity</stp>
        <stp>LOW</stp>
        <tr r="L230" s="2"/>
      </tp>
      <tp>
        <v>-0.45319999999999999</v>
        <stp/>
        <stp>BDP|6754352270513210663|22</stp>
        <stp>2P AB Equity</stp>
        <stp>CHG_PCT_1M_RT</stp>
        <tr r="E267" s="2"/>
      </tp>
      <tp>
        <v>-8.9511000000000003</v>
        <stp/>
        <stp>BDP|9247676000048255962|22</stp>
        <stp>TALCO AB Equity</stp>
        <stp>CHG_PCT_1M_RT</stp>
        <tr r="E208" s="2"/>
      </tp>
      <tp t="s">
        <v>#N/A Requesting Data...3673228710</v>
        <stp/>
        <stp>BDP|999451245700623597</stp>
        <tr r="H11" s="2"/>
      </tp>
      <tp t="s">
        <v>#N/A Requesting Data...2829654915</v>
        <stp/>
        <stp>BDP|798593955836244398</stp>
        <tr r="H136" s="2"/>
      </tp>
      <tp t="s">
        <v>#N/A Requesting Data...4150994283</v>
        <stp/>
        <stp>BDP|506262976055506501</stp>
        <tr r="I206" s="2"/>
      </tp>
      <tp>
        <v>55.584499999999998</v>
        <stp/>
        <stp>BDP|976573356365820715|22</stp>
        <stp>FLYNAS AB Equity</stp>
        <stp>VWAP</stp>
        <tr r="N283" s="2"/>
      </tp>
      <tp t="s">
        <v>#N/A Requesting Data...3295942656</v>
        <stp/>
        <stp>BDP|762291148947750407</stp>
        <tr r="P229" s="2"/>
      </tp>
      <tp t="s">
        <v>#N/A Requesting Data...3783941316</v>
        <stp/>
        <stp>BDP|270724111457384439</stp>
        <tr r="O213" s="2"/>
      </tp>
      <tp t="s">
        <v>#N/A Requesting Data...3625773037</v>
        <stp/>
        <stp>BDP|654038430977460135</stp>
        <tr r="S16" s="2"/>
      </tp>
      <tp>
        <v>29.38</v>
        <stp/>
        <stp>BDP|12653982942728216954|22</stp>
        <stp>EQUIPMEN AB Equity</stp>
        <stp>LAST_PRICE</stp>
        <tr r="B151" s="2"/>
        <tr r="C151" s="2"/>
      </tp>
      <tp>
        <v>-0.71660000085830688</v>
        <stp/>
        <stp>BDP|17708275614705998344|22</stp>
        <stp>MESC AB Equity</stp>
        <stp>RT_PX_CHG_PCT_1D</stp>
        <tr r="D21" s="2"/>
      </tp>
      <tp>
        <v>10.075900000000001</v>
        <stp/>
        <stp>BDP|18339377380236977383|22</stp>
        <stp>NSCSA AB Equity</stp>
        <stp>CHG_PCT_YTD_RT</stp>
        <tr r="F94" s="2"/>
      </tp>
      <tp>
        <v>8</v>
        <stp/>
        <stp>BDP|3985397541111741626|22</stp>
        <stp>SEDCO AB Equity</stp>
        <stp>HIGH</stp>
        <tr r="M99" s="2"/>
      </tp>
      <tp>
        <v>13827</v>
        <stp/>
        <stp>BDP|10379028653118131309|22</stp>
        <stp>JADWA AB Equity</stp>
        <stp>VOLUME</stp>
        <tr r="J101" s="2"/>
      </tp>
      <tp>
        <v>5</v>
        <stp/>
        <stp>BDP|2974659705213412013|22</stp>
        <stp>JADWA AB Equity</stp>
        <stp>HIGH</stp>
        <tr r="M101" s="2"/>
      </tp>
      <tp>
        <v>56.2</v>
        <stp/>
        <stp>BDP|13961542243700856753|22</stp>
        <stp>ALRAMZ AB Equity</stp>
        <stp>YEST_LAST_TRADE</stp>
        <tr r="G265" s="2"/>
      </tp>
      <tp>
        <v>32.92</v>
        <stp/>
        <stp>BDP|17010114722947102083|22</stp>
        <stp>HB AB Equity</stp>
        <stp>ASK</stp>
        <tr r="R139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2.63</v>
        <stp/>
        <stp>BDP|542153049587938299|22</stp>
        <stp>OASIS AB Equity</stp>
        <stp>YEST_LAST_TRADE</stp>
        <tr r="G207" s="2"/>
      </tp>
      <tp>
        <v>12.3</v>
        <stp/>
        <stp>BDP|9710334071655466666|22</stp>
        <stp>ALABDUL AB Equity</stp>
        <stp>HIGH</stp>
        <tr r="M58" s="2"/>
      </tp>
      <tp>
        <v>9.9854001998901367</v>
        <stp/>
        <stp>BDP|10267139114303814332|22</stp>
        <stp>ASACO AB Equity</stp>
        <stp>RT_PX_CHG_PCT_1D</stp>
        <tr r="D127" s="2"/>
      </tp>
      <tp>
        <v>2.09</v>
        <stp/>
        <stp>BDP|14295409484602671072|22</stp>
        <stp>AMERICAN AB Equity</stp>
        <stp>HIGH</stp>
        <tr r="M68" s="2"/>
      </tp>
      <tp>
        <v>26.14</v>
        <stp/>
        <stp>BDP|6537728153968398628|22</stp>
        <stp>ARAMCO AB Equity</stp>
        <stp>ASK</stp>
        <tr r="R92" s="2"/>
      </tp>
      <tp>
        <v>4.9000000000000004</v>
        <stp/>
        <stp>BDP|14984793147346315512|22</stp>
        <stp>ALINMARE AB Equity</stp>
        <stp>HIGH</stp>
        <tr r="M96" s="2"/>
      </tp>
      <tp>
        <v>39.659999999999997</v>
        <stp/>
        <stp>BDP|2657651174140100704|22</stp>
        <stp>ALAMAR AB Equity</stp>
        <stp>LOW</stp>
        <tr r="L77" s="2"/>
      </tp>
      <tp>
        <v>9.0299999999999994</v>
        <stp/>
        <stp>BDP|3692660812556441475|22</stp>
        <stp>NIC AB Equity</stp>
        <stp>BID</stp>
        <tr r="Q224" s="2"/>
      </tp>
      <tp>
        <v>679.5</v>
        <stp/>
        <stp>BDP|4031321030995638057|22</stp>
        <stp>ELM AB Equity</stp>
        <stp>LOW</stp>
        <tr r="L269" s="2"/>
      </tp>
      <tp>
        <v>26.12</v>
        <stp/>
        <stp>BDP|9051846285778479830|22</stp>
        <stp>ARAMCO AB Equity</stp>
        <stp>BID</stp>
        <tr r="Q92" s="2"/>
      </tp>
      <tp>
        <v>14.43</v>
        <stp/>
        <stp>BDP|5146120616507339175|22</stp>
        <stp>EIC AB Equity</stp>
        <stp>BID</stp>
        <tr r="Q16" s="2"/>
      </tp>
      <tp>
        <v>4.6100000000000003</v>
        <stp/>
        <stp>BDP|4564546809861943028|22</stp>
        <stp>MULKIA AB Equity</stp>
        <stp>BID</stp>
        <tr r="Q100" s="2"/>
      </tp>
      <tp t="s">
        <v>#N/A Requesting Data...3075054807</v>
        <stp/>
        <stp>BDP|444188712185953190</stp>
        <tr r="U212" s="2"/>
      </tp>
      <tp t="s">
        <v>#N/A Requesting Data...3276200896</v>
        <stp/>
        <stp>BDP|912028379442966156</stp>
        <tr r="T203" s="2"/>
      </tp>
      <tp t="s">
        <v>#N/A N/A</v>
        <stp/>
        <stp>BDH|628107193919216583</stp>
        <tr r="V159" s="2"/>
      </tp>
      <tp t="s">
        <v>#N/A Requesting Data...4030042864</v>
        <stp/>
        <stp>BDP|969360421046966384</stp>
        <tr r="T121" s="2"/>
      </tp>
      <tp t="s">
        <v>#N/A Requesting Data...3854089966</v>
        <stp/>
        <stp>BDP|380176709361781431</stp>
        <tr r="H194" s="2"/>
      </tp>
      <tp>
        <v>1.62</v>
        <stp/>
        <stp>BDP|7665721358706511020|22</stp>
        <stp>ALKATHIR AB Equity</stp>
        <stp>ASK</stp>
        <tr r="R203" s="2"/>
      </tp>
      <tp>
        <v>18.93</v>
        <stp/>
        <stp>BDP|6322799827510848636|22</stp>
        <stp>SVCP AB Equity</stp>
        <stp>YEST_LAST_TRADE</stp>
        <tr r="G202" s="2"/>
      </tp>
      <tp t="s">
        <v>#N/A Requesting Data...2865481282</v>
        <stp/>
        <stp>BDP|802543051815426120</stp>
        <tr r="S57" s="2"/>
      </tp>
      <tp t="s">
        <v>#N/A Requesting Data...3436383201</v>
        <stp/>
        <stp>BDP|530988556560962897</stp>
        <tr r="H134" s="2"/>
      </tp>
      <tp t="s">
        <v>#N/A N/A</v>
        <stp/>
        <stp>BDH|928047696614567986</stp>
        <tr r="V174" s="2"/>
      </tp>
      <tp t="s">
        <v>#N/A Requesting Data...4157908930</v>
        <stp/>
        <stp>BDP|342550601200114114</stp>
        <tr r="T92" s="2"/>
      </tp>
      <tp>
        <v>42.98</v>
        <stp/>
        <stp>BDP|3814935684133826222|22</stp>
        <stp>SALEHALR AB Equity</stp>
        <stp>ASK</stp>
        <tr r="R239" s="2"/>
      </tp>
      <tp t="s">
        <v>#N/A Requesting Data...2871196059</v>
        <stp/>
        <stp>BDP|941205148453703161</stp>
        <tr r="P144" s="2"/>
      </tp>
      <tp>
        <v>90.2</v>
        <stp/>
        <stp>BDP|4310996997586183478|22</stp>
        <stp>ALARABIA AB Equity</stp>
        <stp>BID</stp>
        <tr r="Q244" s="2"/>
      </tp>
      <tp>
        <v>6.8</v>
        <stp/>
        <stp>BDP|2224042548681855431|22</stp>
        <stp>ALETIHAD AB Equity</stp>
        <stp>ASK</stp>
        <tr r="R180" s="2"/>
      </tp>
      <tp>
        <v>4.82</v>
        <stp/>
        <stp>BDP|16543504810460455105|22</stp>
        <stp>ALINMARE AB Equity</stp>
        <stp>LAST_PRICE</stp>
        <tr r="B96" s="2"/>
        <tr r="C96" s="2"/>
      </tp>
      <tp>
        <v>13.93</v>
        <stp/>
        <stp>BDP|5685412420191367402|22</stp>
        <stp>JAHEZ AB Equity</stp>
        <stp>HIGH</stp>
        <tr r="M62" s="2"/>
      </tp>
      <tp>
        <v>33.36</v>
        <stp/>
        <stp>BDP|3006479762887534857|22</stp>
        <stp>FIPCO AB Equity</stp>
        <stp>HIGH</stp>
        <tr r="M232" s="2"/>
      </tp>
      <tp>
        <v>4.3600000441074371E-2</v>
        <stp/>
        <stp>BDP|3802628115612046685|22</stp>
        <stp>SAWCEM AB Equity</stp>
        <stp>RT_PX_CHG_PCT_1D</stp>
        <tr r="D204" s="2"/>
      </tp>
      <tp>
        <v>5.29</v>
        <stp/>
        <stp>BDP|7609624056793947834|22</stp>
        <stp>MAHARAH AB Equity</stp>
        <stp>HIGH</stp>
        <tr r="M34" s="2"/>
      </tp>
      <tp>
        <v>1.6073000431060791</v>
        <stp/>
        <stp>BDP|5123170987491283578|22</stp>
        <stp>ATTMCO AB Equity</stp>
        <stp>RT_PX_CHG_PCT_1D</stp>
        <tr r="D131" s="2"/>
      </tp>
      <tp>
        <v>22.65</v>
        <stp/>
        <stp>BDP|4147185067859340012|22</stp>
        <stp>ALOMRAN AB Equity</stp>
        <stp>HIGH</stp>
        <tr r="M25" s="2"/>
      </tp>
      <tp>
        <v>26.3</v>
        <stp/>
        <stp>BDP|9768261536534115815|22</stp>
        <stp>SAUDIRE AB Equity</stp>
        <stp>HIGH</stp>
        <tr r="M167" s="2"/>
      </tp>
      <tp>
        <v>5.87</v>
        <stp/>
        <stp>BDP|8088082501911813808|22</stp>
        <stp>AOTHAIM AB Equity</stp>
        <stp>HIGH</stp>
        <tr r="M82" s="2"/>
      </tp>
      <tp>
        <v>14.45</v>
        <stp/>
        <stp>BDP|7962191461053823481|22</stp>
        <stp>EIC AB Equity</stp>
        <stp>ASK</stp>
        <tr r="R16" s="2"/>
      </tp>
      <tp>
        <v>4.62</v>
        <stp/>
        <stp>BDP|2721635855379285888|22</stp>
        <stp>MULKIA AB Equity</stp>
        <stp>ASK</stp>
        <tr r="R100" s="2"/>
      </tp>
      <tp>
        <v>101.1</v>
        <stp/>
        <stp>BDP|16856700428807516020|22</stp>
        <stp>ALMAWARI AB Equity</stp>
        <stp>OPEN</stp>
        <tr r="K38" s="2"/>
      </tp>
      <tp>
        <v>19.03</v>
        <stp/>
        <stp>BDP|4028983406594240281|22</stp>
        <stp>ACE AB Equity</stp>
        <stp>BID</stp>
        <tr r="Q177" s="2"/>
      </tp>
      <tp t="s">
        <v>#N/A Requesting Data...2879219623</v>
        <stp/>
        <stp>BDP|332187206766377028</stp>
        <tr r="S32" s="2"/>
      </tp>
      <tp t="s">
        <v>#N/A Requesting Data...2857367789</v>
        <stp/>
        <stp>BDP|603648675333884535</stp>
        <tr r="P17" s="2"/>
      </tp>
      <tp t="s">
        <v>#N/A Requesting Data...3894064200</v>
        <stp/>
        <stp>BDP|117159679761287009</stp>
        <tr r="P104" s="2"/>
      </tp>
      <tp>
        <v>11.8</v>
        <stp/>
        <stp>BDP|1591215291174937420|22</stp>
        <stp>SCACO AB Equity</stp>
        <stp>CHG_PCT_1M_RT</stp>
        <tr r="E28" s="2"/>
      </tp>
      <tp t="s">
        <v>#N/A Requesting Data...3053844768</v>
        <stp/>
        <stp>BDP|861583678220217536</stp>
        <tr r="X250" s="2"/>
      </tp>
      <tp t="s">
        <v>#N/A Requesting Data...2881206095</v>
        <stp/>
        <stp>BDP|592660764487762070</stp>
        <tr r="T59" s="2"/>
      </tp>
      <tp t="s">
        <v>#N/A Requesting Data...3353324979</v>
        <stp/>
        <stp>BDP|638318850344469523</stp>
        <tr r="H248" s="2"/>
      </tp>
      <tp t="s">
        <v>#N/A N/A</v>
        <stp/>
        <stp>BDH|194683213203064391</stp>
        <tr r="V37" s="2"/>
      </tp>
      <tp>
        <v>146.6</v>
        <stp/>
        <stp>BDP|9608407020630648723|22</stp>
        <stp>TAWUNIYA AB Equity</stp>
        <stp>BID</stp>
        <tr r="Q183" s="2"/>
      </tp>
      <tp>
        <v>11.75</v>
        <stp/>
        <stp>BDP|2372601038246741613|22</stp>
        <stp>JAZTAKAF AB Equity</stp>
        <stp>ASK</stp>
        <tr r="R178" s="2"/>
      </tp>
      <tp>
        <v>123.8</v>
        <stp/>
        <stp>BDP|7887685340754014413|22</stp>
        <stp>SAFCO AB Equity</stp>
        <stp>HIGH</stp>
        <tr r="M238" s="2"/>
      </tp>
      <tp>
        <v>2.42</v>
        <stp/>
        <stp>BDP|13282535223736534932|22</stp>
        <stp>AHFCO AB Equity</stp>
        <stp>YEST_LAST_TRADE</stp>
        <tr r="G60" s="2"/>
      </tp>
      <tp>
        <v>1432665</v>
        <stp/>
        <stp>BDP|15382437894557307192|22</stp>
        <stp>ENAYA AB Equity</stp>
        <stp>VOLUME</stp>
        <tr r="J179" s="2"/>
      </tp>
      <tp>
        <v>73</v>
        <stp/>
        <stp>BDP|12112577032978318541|22</stp>
        <stp>EXTRA AB Equity</stp>
        <stp>YEST_LAST_TRADE</stp>
        <tr r="G52" s="2"/>
      </tp>
      <tp>
        <v>-0.2046</v>
        <stp/>
        <stp>BDP|13177923598336312668|22</stp>
        <stp>ALBI AB Equity</stp>
        <stp>CHG_PCT_1M_RT</stp>
        <tr r="E5" s="2"/>
      </tp>
      <tp>
        <v>3.65</v>
        <stp/>
        <stp>BDP|7604192918903732289|22</stp>
        <stp>ARABSEA AB Equity</stp>
        <stp>HIGH</stp>
        <tr r="M272" s="2"/>
      </tp>
      <tp>
        <v>-1.7194000482559204</v>
        <stp/>
        <stp>BDP|8276697898592395571|22</stp>
        <stp>SAVOLA AB Equity</stp>
        <stp>RT_PX_CHG_PCT_1D</stp>
        <tr r="D143" s="2"/>
      </tp>
      <tp>
        <v>43.34</v>
        <stp/>
        <stp>BDP|13142017450574845332|22</stp>
        <stp>ABOMOATI AB Equity</stp>
        <stp>HIGH</stp>
        <tr r="M43" s="2"/>
      </tp>
      <tp>
        <v>393489</v>
        <stp/>
        <stp>BDP|12037045426538384860|22</stp>
        <stp>2P AB Equity</stp>
        <stp>VOLUME</stp>
        <tr r="J267" s="2"/>
      </tp>
      <tp>
        <v>-21.558700000000002</v>
        <stp/>
        <stp>BDP|4376325557135396361|22</stp>
        <stp>SHAKER AB Equity</stp>
        <stp>CHG_PCT_YTD_RT</stp>
        <tr r="F18" s="2"/>
      </tp>
      <tp>
        <v>25.9</v>
        <stp/>
        <stp>BDP|5516580803814215197|22</stp>
        <stp>ARAMCO AB Equity</stp>
        <stp>LOW</stp>
        <tr r="L92" s="2"/>
      </tp>
      <tp>
        <v>19.05</v>
        <stp/>
        <stp>BDP|2893231206129008556|22</stp>
        <stp>BSF AB Equity</stp>
        <stp>LOW</stp>
        <tr r="L10" s="2"/>
      </tp>
      <tp t="s">
        <v>#N/A Requesting Data...4095453043</v>
        <stp/>
        <stp>BDP|241413872907668288</stp>
        <tr r="H47" s="2"/>
      </tp>
      <tp t="s">
        <v>#N/A Requesting Data...3259971342</v>
        <stp/>
        <stp>BDP|370872890042898541</stp>
        <tr r="S137" s="2"/>
      </tp>
      <tp t="s">
        <v>#N/A Requesting Data...3518797078</v>
        <stp/>
        <stp>BDP|202723860183245499</stp>
        <tr r="T20" s="2"/>
      </tp>
      <tp>
        <v>-5.9378000000000002</v>
        <stp/>
        <stp>BDP|9158430757814926439|22</stp>
        <stp>EMAAR AB Equity</stp>
        <stp>CHG_PCT_1M_RT</stp>
        <tr r="E262" s="2"/>
      </tp>
      <tp t="s">
        <v>#N/A Requesting Data...3803566929</v>
        <stp/>
        <stp>BDP|753448755585230243</stp>
        <tr r="T36" s="2"/>
      </tp>
      <tp t="s">
        <v>#N/A Requesting Data...4052277280</v>
        <stp/>
        <stp>BDP|463575427431117054</stp>
        <tr r="O107" s="2"/>
      </tp>
      <tp t="s">
        <v>#N/A Requesting Data...3691861699</v>
        <stp/>
        <stp>BDP|759085435107899201</stp>
        <tr r="S55" s="2"/>
      </tp>
      <tp t="s">
        <v>#N/A Requesting Data...3287028780</v>
        <stp/>
        <stp>BDP|833186334247057361</stp>
        <tr r="P103" s="2"/>
      </tp>
      <tp t="s">
        <v>#N/A Requesting Data...2948701672</v>
        <stp/>
        <stp>BDP|429505826010537146</stp>
        <tr r="S160" s="2"/>
      </tp>
      <tp>
        <v>0.81209999322891235</v>
        <stp/>
        <stp>BDP|17190965828324183535|22</stp>
        <stp>ADES AB Equity</stp>
        <stp>RT_PX_CHG_PCT_1D</stp>
        <tr r="D90" s="2"/>
      </tp>
      <tp>
        <v>2.8087000846862793</v>
        <stp/>
        <stp>BDP|15046441765719129942|22</stp>
        <stp>ACWA AB Equity</stp>
        <stp>RT_PX_CHG_PCT_1D</stp>
        <tr r="D289" s="2"/>
      </tp>
      <tp>
        <v>6.73</v>
        <stp/>
        <stp>BDP|4962440789954279821|22</stp>
        <stp>NORTHCEM AB Equity</stp>
        <stp>ASK</stp>
        <tr r="R230" s="2"/>
      </tp>
      <tp>
        <v>79</v>
        <stp/>
        <stp>BDP|9520305209679738016|22</stp>
        <stp>SFICO AB Equity</stp>
        <stp>HIGH</stp>
        <tr r="M130" s="2"/>
      </tp>
      <tp>
        <v>11.08</v>
        <stp/>
        <stp>BDP|17677763915006892480|22</stp>
        <stp>ENAYA AB Equity</stp>
        <stp>YEST_LAST_TRADE</stp>
        <tr r="G179" s="2"/>
      </tp>
      <tp>
        <v>12.34</v>
        <stp/>
        <stp>BDP|15642115000823255661|22</stp>
        <stp>NMMCC AB Equity</stp>
        <stp>YEST_LAST_TRADE</stp>
        <tr r="G195" s="2"/>
      </tp>
      <tp>
        <v>6.5681000000000003</v>
        <stp/>
        <stp>BDP|5110817759701413900|22</stp>
        <stp>2P AB Equity</stp>
        <stp>VWAP</stp>
        <tr r="N267" s="2"/>
      </tp>
      <tp>
        <v>4.3956</v>
        <stp/>
        <stp>BDP|12489630202952527940|22</stp>
        <stp>SAAC AB Equity</stp>
        <stp>CHG_PCT_1M_RT</stp>
        <tr r="E17" s="2"/>
      </tp>
      <tp>
        <v>-3.1671999999999998</v>
        <stp/>
        <stp>BDP|4501707756052832729|22</stp>
        <stp>SAWCEM AB Equity</stp>
        <stp>CHG_PCT_YTD_RT</stp>
        <tr r="F204" s="2"/>
      </tp>
      <tp>
        <v>-1.1331</v>
        <stp/>
        <stp>BDP|20707164184552707|22</stp>
        <stp>ALISADRF AB Equity</stp>
        <stp>CHG_PCT_1M_RT</stp>
        <tr r="E109" s="2"/>
      </tp>
      <tp>
        <v>156.80000000000001</v>
        <stp/>
        <stp>BDP|11036619360042499566|22</stp>
        <stp>JAMJOOMP AB Equity</stp>
        <stp>HIGH</stp>
        <tr r="M248" s="2"/>
      </tp>
      <tp>
        <v>24.22</v>
        <stp/>
        <stp>BDP|6302320128076675619|22</stp>
        <stp>BCI AB Equity</stp>
        <stp>BID</stp>
        <tr r="Q201" s="2"/>
      </tp>
      <tp>
        <v>38.42</v>
        <stp/>
        <stp>BDP|1701842919671825899|22</stp>
        <stp>SNB AB Equity</stp>
        <stp>LOW</stp>
        <tr r="L13" s="2"/>
      </tp>
      <tp>
        <v>27.8</v>
        <stp/>
        <stp>BDP|4053450908064133407|22</stp>
        <stp>SRE AB Equity</stp>
        <stp>LOW</stp>
        <tr r="L251" s="2"/>
      </tp>
      <tp t="s">
        <v>#N/A Requesting Data...3284109006</v>
        <stp/>
        <stp>BDP|277175879745120218</stp>
        <tr r="I279" s="2"/>
      </tp>
      <tp t="s">
        <v>#N/A Requesting Data...4271496461</v>
        <stp/>
        <stp>BDP|913754293006246903</stp>
        <tr r="O50" s="2"/>
      </tp>
      <tp>
        <v>13.2</v>
        <stp/>
        <stp>BDP|5348578314246451987|22</stp>
        <stp>SMARKETI AB Equity</stp>
        <stp>ASK</stp>
        <tr r="R85" s="2"/>
      </tp>
      <tp t="s">
        <v>#N/A Requesting Data...4117735234</v>
        <stp/>
        <stp>BDP|396684876527187736</stp>
        <tr r="I262" s="2"/>
      </tp>
      <tp t="s">
        <v>#N/A Requesting Data...3991026085</v>
        <stp/>
        <stp>BDP|304841190525794583</stp>
        <tr r="U172" s="2"/>
      </tp>
      <tp t="s">
        <v>#N/A Requesting Data...3910032667</v>
        <stp/>
        <stp>BDP|449430868243740030</stp>
        <tr r="H114" s="2"/>
      </tp>
      <tp>
        <v>-27.400099999999998</v>
        <stp/>
        <stp>BDP|10068608059217414468|22</stp>
        <stp>CARE AB Equity</stp>
        <stp>CHG_PCT_YTD_RT</stp>
        <tr r="F158" s="2"/>
      </tp>
      <tp t="s">
        <v>#N/A Requesting Data...2939994412</v>
        <stp/>
        <stp>BDP|823285368880887549</stp>
        <tr r="H274" s="2"/>
      </tp>
      <tp t="s">
        <v>#N/A Requesting Data...4292843251</v>
        <stp/>
        <stp>BDP|222112273050772732</stp>
        <tr r="P69" s="2"/>
      </tp>
      <tp>
        <v>10.89</v>
        <stp/>
        <stp>BDP|4416815526092597047|22</stp>
        <stp>JADWAREI AB Equity</stp>
        <stp>BID</stp>
        <tr r="Q105" s="2"/>
      </tp>
      <tp t="s">
        <v>#N/A Requesting Data...4163291370</v>
        <stp/>
        <stp>BDP|903179478322738513</stp>
        <tr r="P271" s="2"/>
      </tp>
      <tp t="s">
        <v>#N/A Requesting Data...4293763559</v>
        <stp/>
        <stp>BDP|382540188065956971</stp>
        <tr r="P232" s="2"/>
      </tp>
      <tp>
        <v>-6.5011999999999999</v>
        <stp/>
        <stp>BDP|7586938520000371281|22</stp>
        <stp>NADEC AB Equity</stp>
        <stp>CHG_PCT_1M_RT</stp>
        <tr r="E140" s="2"/>
      </tp>
      <tp t="s">
        <v>#N/A Requesting Data...4009492455</v>
        <stp/>
        <stp>BDP|343063846523700668</stp>
        <tr r="H129" s="2"/>
      </tp>
      <tp>
        <v>61.8</v>
        <stp/>
        <stp>BDP|3787183109170781075|22</stp>
        <stp>ALMUNAJE AB Equity</stp>
        <stp>ASK</stp>
        <tr r="R87" s="2"/>
      </tp>
      <tp>
        <v>102</v>
        <stp/>
        <stp>BDP|16326084985338967677|22</stp>
        <stp>ALMAWARI AB Equity</stp>
        <stp>LAST_PRICE</stp>
        <tr r="C38" s="2"/>
        <tr r="B38" s="2"/>
      </tp>
      <tp>
        <v>15.75</v>
        <stp/>
        <stp>BDP|12852841121429343003|22</stp>
        <stp>NADEC AB Equity</stp>
        <stp>YEST_LAST_TRADE</stp>
        <tr r="G140" s="2"/>
      </tp>
      <tp>
        <v>-5.9302000000000001</v>
        <stp/>
        <stp>BDP|15570624892256221480|22</stp>
        <stp>SABB AB Equity</stp>
        <stp>CHG_PCT_1M_RT</stp>
        <tr r="E7" s="2"/>
      </tp>
      <tp>
        <v>10.927199999999999</v>
        <stp/>
        <stp>BDP|14596179835533899626|22</stp>
        <stp>UCA AB Equity</stp>
        <stp>CHG_PCT_1M_RT</stp>
        <tr r="E181" s="2"/>
      </tp>
      <tp>
        <v>4.0209999999999999</v>
        <stp/>
        <stp>BDP|14726237246430495350|22</stp>
        <stp>SCH AB Equity</stp>
        <stp>CHG_PCT_1M_RT</stp>
        <tr r="E47" s="2"/>
      </tp>
      <tp>
        <v>10.7</v>
        <stp/>
        <stp>BDP|3680445831156641433|22</stp>
        <stp>ZAINKSA AB Equity</stp>
        <stp>HIGH</stp>
        <tr r="M276" s="2"/>
      </tp>
      <tp>
        <v>126.2</v>
        <stp/>
        <stp>BDP|6621662540300006923|22</stp>
        <stp>LUBEREF AB Equity</stp>
        <stp>HIGH</stp>
        <tr r="M235" s="2"/>
      </tp>
      <tp>
        <v>8.1410999298095703</v>
        <stp/>
        <stp>BDP|2284754817329789136|22</stp>
        <stp>NASEEJ AB Equity</stp>
        <stp>RT_PX_CHG_PCT_1D</stp>
        <tr r="D55" s="2"/>
      </tp>
      <tp>
        <v>-11.9628</v>
        <stp/>
        <stp>BDP|17997654055938046|22</stp>
        <stp>SACCO AB Equity</stp>
        <stp>CHG_PCT_YTD_RT</stp>
        <tr r="F229" s="2"/>
      </tp>
      <tp>
        <v>24.24</v>
        <stp/>
        <stp>BDP|5625111062413030396|22</stp>
        <stp>BCI AB Equity</stp>
        <stp>ASK</stp>
        <tr r="R201" s="2"/>
      </tp>
      <tp>
        <v>15.46</v>
        <stp/>
        <stp>BDP|15186251277659360152|22</stp>
        <stp>ALKHLEEJ AB Equity</stp>
        <stp>HIGH</stp>
        <tr r="M64" s="2"/>
      </tp>
      <tp>
        <v>22.900500000000001</v>
        <stp/>
        <stp>BDP|14780002225574888653|22</stp>
        <stp>MBCGROUP AB Equity</stp>
        <stp>VWAP</stp>
        <tr r="N243" s="2"/>
      </tp>
      <tp>
        <v>10.8492</v>
        <stp/>
        <stp>BDP|10676639951319887401|22</stp>
        <stp>ALJAZIRA AB Equity</stp>
        <stp>VWAP</stp>
        <tr r="N102" s="2"/>
      </tp>
      <tp>
        <v>93</v>
        <stp/>
        <stp>BDP|13257708775357709018|22</stp>
        <stp>ALARABIA AB Equity</stp>
        <stp>HIGH</stp>
        <tr r="M244" s="2"/>
      </tp>
      <tp>
        <v>4.22</v>
        <stp/>
        <stp>BDP|15301158608048524263|22</stp>
        <stp>FOURTHMI AB Equity</stp>
        <stp>OPEN</stp>
        <tr r="K132" s="2"/>
      </tp>
      <tp>
        <v>16.68</v>
        <stp/>
        <stp>BDP|18116076176421886865|22</stp>
        <stp>SMCHEALT AB Equity</stp>
        <stp>OPEN</stp>
        <tr r="K150" s="2"/>
      </tp>
      <tp>
        <v>133.30000000000001</v>
        <stp/>
        <stp>BDP|15736046515081004169|22</stp>
        <stp>TADAWULG AB Equity</stp>
        <stp>HIGH</stp>
        <tr r="M120" s="2"/>
      </tp>
      <tp t="s">
        <v>#N/A N/A</v>
        <stp/>
        <stp>BDH|550889381931481166</stp>
        <tr r="V101" s="2"/>
      </tp>
      <tp t="s">
        <v>#N/A Requesting Data...3871083979</v>
        <stp/>
        <stp>BDP|996164506408567950</stp>
        <tr r="I121" s="2"/>
      </tp>
      <tp t="s">
        <v>#N/A Requesting Data...3720266448</v>
        <stp/>
        <stp>BDP|335522551939307991</stp>
        <tr r="U64" s="2"/>
      </tp>
      <tp t="s">
        <v>#N/A Requesting Data...3590775596</v>
        <stp/>
        <stp>BDP|366943917891451900</stp>
        <tr r="H208" s="2"/>
      </tp>
      <tp t="s">
        <v>#N/A Requesting Data...3218029373</v>
        <stp/>
        <stp>BDP|784719646356450506</stp>
        <tr r="P75" s="2"/>
      </tp>
      <tp>
        <v>3.94</v>
        <stp/>
        <stp>BDP|12523878674675228708|22</stp>
        <stp>MUSHREIT AB Equity</stp>
        <stp>LAST_PRICE</stp>
        <tr r="B103" s="2"/>
        <tr r="C103" s="2"/>
      </tp>
      <tp>
        <v>-5.3434999999999997</v>
        <stp/>
        <stp>BDP|6586358985732263177|22</stp>
        <stp>NAHDI AB Equity</stp>
        <stp>CHG_PCT_1M_RT</stp>
        <tr r="E86" s="2"/>
      </tp>
      <tp t="s">
        <v>#N/A Requesting Data...3773749132</v>
        <stp/>
        <stp>BDP|781208225443679366</stp>
        <tr r="T259" s="2"/>
      </tp>
      <tp>
        <v>0.64180000000000004</v>
        <stp/>
        <stp>BDP|3497398441033700872|22</stp>
        <stp>SEDCO AB Equity</stp>
        <stp>CHG_PCT_1M_RT</stp>
        <tr r="E99" s="2"/>
      </tp>
      <tp>
        <v>7.46</v>
        <stp/>
        <stp>BDP|1767523442299408101|22</stp>
        <stp>BURGERIZ AB Equity</stp>
        <stp>LOW</stp>
        <tr r="L63" s="2"/>
      </tp>
      <tp>
        <v>5.17</v>
        <stp/>
        <stp>BDP|15856363990861432423|22</stp>
        <stp>KAYAN AB Equity</stp>
        <stp>YEST_LAST_TRADE</stp>
        <tr r="G198" s="2"/>
      </tp>
      <tp>
        <v>12.06</v>
        <stp/>
        <stp>BDP|15833119541615895150|22</stp>
        <stp>ANAAM AB Equity</stp>
        <stp>YEST_LAST_TRADE</stp>
        <tr r="G84" s="2"/>
      </tp>
      <tp>
        <v>43.88</v>
        <stp/>
        <stp>BDP|8115665537481265751|22</stp>
        <stp>ALDAWAA AB Equity</stp>
        <stp>HIGH</stp>
        <tr r="M81" s="2"/>
      </tp>
      <tp>
        <v>3.6791999999999998</v>
        <stp/>
        <stp>BDP|2290585670836066209|22</stp>
        <stp>ALASEEL AB Equity</stp>
        <stp>VWAP</stp>
        <tr r="N59" s="2"/>
      </tp>
      <tp>
        <v>9.0084999999999997</v>
        <stp/>
        <stp>BDP|1944005132914433217|22</stp>
        <stp>MAATHER AB Equity</stp>
        <stp>VWAP</stp>
        <tr r="N106" s="2"/>
      </tp>
      <tp>
        <v>8.8699999999999992</v>
        <stp/>
        <stp>BDP|16092245035383857019|22</stp>
        <stp>CHEMANOL AB Equity</stp>
        <stp>HIGH</stp>
        <tr r="M234" s="2"/>
      </tp>
      <tp>
        <v>-26.1</v>
        <stp/>
        <stp>BDP|7675856280695831048|22</stp>
        <stp>NOFOTH AB Equity</stp>
        <stp>CHG_PCT_YTD_RT</stp>
        <tr r="F148" s="2"/>
      </tp>
      <tp>
        <v>91.5</v>
        <stp/>
        <stp>BDP|14835520390235962804|22</stp>
        <stp>ARABIAND AB Equity</stp>
        <stp>HIGH</stp>
        <tr r="M91" s="2"/>
      </tp>
      <tp>
        <v>23.8</v>
        <stp/>
        <stp>BDP|3005520126907649006|22</stp>
        <stp>BCI AB Equity</stp>
        <stp>LOW</stp>
        <tr r="L201" s="2"/>
      </tp>
      <tp>
        <v>687</v>
        <stp/>
        <stp>BDP|2722534162916616983|22</stp>
        <stp>ELM AB Equity</stp>
        <stp>BID</stp>
        <tr r="Q269" s="2"/>
      </tp>
      <tp>
        <v>29.401399999999999</v>
        <stp/>
        <stp>BDP|11667642214698188150|22</stp>
        <stp>EQUIPMEN AB Equity</stp>
        <stp>VWAP</stp>
        <tr r="N151" s="2"/>
      </tp>
      <tp>
        <v>-0.6633</v>
        <stp/>
        <stp>BDP|1968374862122656065|22</stp>
        <stp>CHERRY AB Equity</stp>
        <stp>CHG_PCT_YTD_RT</stp>
        <tr r="F53" s="2"/>
      </tp>
      <tp>
        <v>8.85</v>
        <stp/>
        <stp>BDP|9303664807876727267|22</stp>
        <stp>ATTMCO AB Equity</stp>
        <stp>ASK</stp>
        <tr r="R131" s="2"/>
      </tp>
      <tp t="s">
        <v>#N/A Requesting Data...4048621356</v>
        <stp/>
        <stp>BDP|993215765374820387</stp>
        <tr r="P210" s="2"/>
      </tp>
      <tp>
        <v>111</v>
        <stp/>
        <stp>BDP|482100752494337296|22</stp>
        <stp>DALLAH AB Equity</stp>
        <stp>HIGH</stp>
        <tr r="M160" s="2"/>
      </tp>
      <tp>
        <v>6.0473999999999997</v>
        <stp/>
        <stp>BDP|3550461133940426933|22</stp>
        <stp>ASLAK AB Equity</stp>
        <stp>CHG_PCT_1M_RT</stp>
        <tr r="E219" s="2"/>
      </tp>
      <tp t="s">
        <v>#N/A Requesting Data...4178144511</v>
        <stp/>
        <stp>BDP|338641715770314489</stp>
        <tr r="O39" s="2"/>
      </tp>
      <tp t="s">
        <v>#N/A Requesting Data...3374373638</v>
        <stp/>
        <stp>BDP|661585362036273655</stp>
        <tr r="S21" s="2"/>
      </tp>
      <tp>
        <v>2.0318999999999998</v>
        <stp/>
        <stp>BDP|9255120836685197033|22</stp>
        <stp>SPORTCLU AB Equity</stp>
        <stp>CHG_PCT_1M_RT</stp>
        <tr r="E67" s="2"/>
      </tp>
      <tp>
        <v>6.73</v>
        <stp/>
        <stp>BDP|11937366325236058100|22</stp>
        <stp>NORTHCEM AB Equity</stp>
        <stp>LAST_PRICE</stp>
        <tr r="C230" s="2"/>
        <tr r="B230" s="2"/>
      </tp>
      <tp t="s">
        <v>#N/A Requesting Data...3777692413</v>
        <stp/>
        <stp>BDP|478051003402023179</stp>
        <tr r="U223" s="2"/>
      </tp>
      <tp>
        <v>-9.5917999999999992</v>
        <stp/>
        <stp>BDP|3505137666384370845|22</stp>
        <stp>AMLAK AB Equity</stp>
        <stp>CHG_PCT_1M_RT</stp>
        <tr r="E122" s="2"/>
      </tp>
      <tp>
        <v>36.069099999999999</v>
        <stp/>
        <stp>BDP|630884060388437316|22</stp>
        <stp>ZOUJAJ AB Equity</stp>
        <stp>VWAP</stp>
        <tr r="N220" s="2"/>
      </tp>
      <tp t="s">
        <v>#N/A Requesting Data...4257051454</v>
        <stp/>
        <stp>BDP|816292014247670755</stp>
        <tr r="U167" s="2"/>
      </tp>
      <tp>
        <v>6.78</v>
        <stp/>
        <stp>BDP|5042939635952318003|22</stp>
        <stp>ALETIHAD AB Equity</stp>
        <stp>BID</stp>
        <tr r="Q180" s="2"/>
      </tp>
      <tp t="s">
        <v>#N/A Requesting Data...3392773813</v>
        <stp/>
        <stp>BDP|394460661034309565</stp>
        <tr r="O28" s="2"/>
      </tp>
      <tp t="s">
        <v>#N/A Requesting Data...3708992639</v>
        <stp/>
        <stp>BDP|855641046364940526</stp>
        <tr r="T136" s="2"/>
      </tp>
      <tp t="s">
        <v>#N/A Requesting Data...3079485460</v>
        <stp/>
        <stp>BDP|484455425507050274</stp>
        <tr r="T258" s="2"/>
      </tp>
      <tp>
        <v>4.1854000091552734</v>
        <stp/>
        <stp>BDP|13690311887664052975|22</stp>
        <stp>ACIG AB Equity</stp>
        <stp>RT_PX_CHG_PCT_1D</stp>
        <tr r="D170" s="2"/>
      </tp>
      <tp>
        <v>19.5</v>
        <stp/>
        <stp>BDP|7615593824696339989|22</stp>
        <stp>SOCCO AB Equity</stp>
        <stp>HIGH</stp>
        <tr r="M200" s="2"/>
      </tp>
      <tp>
        <v>23.09</v>
        <stp/>
        <stp>BDP|4398884744491669258|22</stp>
        <stp>ARCCO AB Equity</stp>
        <stp>OPEN</stp>
        <tr r="K231" s="2"/>
      </tp>
      <tp>
        <v>34.24</v>
        <stp/>
        <stp>BDP|5667605835978652113|22</stp>
        <stp>SISCO AB Equity</stp>
        <stp>HIGH</stp>
        <tr r="M284" s="2"/>
      </tp>
      <tp>
        <v>348967</v>
        <stp/>
        <stp>BDP|10128224348548114505|22</stp>
        <stp>SEERA AB Equity</stp>
        <stp>VOLUME</stp>
        <tr r="J74" s="2"/>
      </tp>
      <tp>
        <v>-2.0074000000000001</v>
        <stp/>
        <stp>BDP|17922858275619845011|22</stp>
        <stp>RJHI AB Equity</stp>
        <stp>CHG_PCT_1M_RT</stp>
        <tr r="E12" s="2"/>
      </tp>
      <tp>
        <v>-0.71170002222061157</v>
        <stp/>
        <stp>BDP|7926601138293453120|22</stp>
        <stp>ALRAMZ AB Equity</stp>
        <stp>RT_PX_CHG_PCT_1D</stp>
        <tr r="D265" s="2"/>
      </tp>
      <tp>
        <v>14.22</v>
        <stp/>
        <stp>BDP|6930838857876894318|22</stp>
        <stp>NICEONE AB Equity</stp>
        <stp>HIGH</stp>
        <tr r="M42" s="2"/>
      </tp>
      <tp>
        <v>22.9</v>
        <stp/>
        <stp>BDP|10834584411903728466|22</stp>
        <stp>MBCGROUP AB Equity</stp>
        <stp>OPEN</stp>
        <tr r="K243" s="2"/>
      </tp>
      <tp>
        <v>-2.0755000114440918</v>
        <stp/>
        <stp>BDP|11176486343221874702|22</stp>
        <stp>ARCCI AB Equity</stp>
        <stp>RT_PX_CHG_PCT_1D</stp>
        <tr r="D166" s="2"/>
      </tp>
      <tp>
        <v>75.25</v>
        <stp/>
        <stp>BDP|11258292965342923410|22</stp>
        <stp>CATERING AB Equity</stp>
        <stp>OPEN</stp>
        <tr r="K37" s="2"/>
      </tp>
      <tp>
        <v>61.35</v>
        <stp/>
        <stp>BDP|17915559114322986366|22</stp>
        <stp>AVALONPH AB Equity</stp>
        <stp>HIGH</stp>
        <tr r="M247" s="2"/>
      </tp>
      <tp>
        <v>12.15</v>
        <stp/>
        <stp>BDP|9349106333208159780|22</stp>
        <stp>KEC AB Equity</stp>
        <stp>LOW</stp>
        <tr r="L263" s="2"/>
      </tp>
      <tp t="s">
        <v>#N/A Requesting Data...3389151416</v>
        <stp/>
        <stp>BDP|974428536056409356</stp>
        <tr r="H17" s="2"/>
      </tp>
      <tp t="s">
        <v>#N/A Requesting Data...3009005024</v>
        <stp/>
        <stp>BDP|846155060853026612</stp>
        <tr r="H101" s="2"/>
      </tp>
      <tp t="s">
        <v>#N/A Requesting Data...3662908279</v>
        <stp/>
        <stp>BDP|513403565770820043</stp>
        <tr r="I202" s="2"/>
      </tp>
      <tp>
        <v>13.13</v>
        <stp/>
        <stp>BDP|17730411873666880244|22</stp>
        <stp>SMARKETI AB Equity</stp>
        <stp>LAST_PRICE</stp>
        <tr r="B85" s="2"/>
        <tr r="C85" s="2"/>
      </tp>
      <tp t="s">
        <v>#N/A Requesting Data...3754878192</v>
        <stp/>
        <stp>BDP|416529768316278725</stp>
        <tr r="X102" s="2"/>
      </tp>
      <tp t="s">
        <v>#N/A N/A</v>
        <stp/>
        <stp>BDH|503959306609179284</stp>
        <tr r="V59" s="2"/>
      </tp>
      <tp t="s">
        <v>#N/A Requesting Data...3244155406</v>
        <stp/>
        <stp>BDP|438635263701853332</stp>
        <tr r="S26" s="2"/>
      </tp>
      <tp>
        <v>5.69</v>
        <stp/>
        <stp>BDP|14638905165485460517|22</stp>
        <stp>DERAYAHR AB Equity</stp>
        <stp>LAST_PRICE</stp>
        <tr r="B104" s="2"/>
        <tr r="C104" s="2"/>
      </tp>
      <tp>
        <v>16.75</v>
        <stp/>
        <stp>BDP|4117851525532353888|22</stp>
        <stp>SMCHEALT AB Equity</stp>
        <stp>ASK</stp>
        <tr r="R150" s="2"/>
      </tp>
      <tp t="s">
        <v>#N/A Requesting Data...4247574906</v>
        <stp/>
        <stp>BDP|529171402933936033</stp>
        <tr r="I246" s="2"/>
      </tp>
      <tp t="s">
        <v>#N/A Requesting Data...3644096119</v>
        <stp/>
        <stp>BDP|833061918843260031</stp>
        <tr r="U214" s="2"/>
      </tp>
      <tp>
        <v>13.9</v>
        <stp/>
        <stp>BDP|8317052945849859572|22</stp>
        <stp>ALANDALU AB Equity</stp>
        <stp>BID</stp>
        <tr r="Q258" s="2"/>
      </tp>
      <tp t="s">
        <v>#N/A Requesting Data...3606291881</v>
        <stp/>
        <stp>BDP|581265644283230770</stp>
        <tr r="X107" s="2"/>
      </tp>
      <tp t="s">
        <v>#N/A Requesting Data...4020618082</v>
        <stp/>
        <stp>BDP|846717010475209185</stp>
        <tr r="I234" s="2"/>
      </tp>
      <tp>
        <v>54.5</v>
        <stp/>
        <stp>BDP|4532550163585271497|22</stp>
        <stp>FIRSTMIL AB Equity</stp>
        <stp>LOW</stp>
        <tr r="L135" s="2"/>
      </tp>
      <tp>
        <v>220</v>
        <stp/>
        <stp>BDP|4141580763222423652|22</stp>
        <stp>EASTPIPE AB Equity</stp>
        <stp>BID</stp>
        <tr r="Q217" s="2"/>
      </tp>
      <tp>
        <v>75</v>
        <stp/>
        <stp>BDP|9948369681314979689|22</stp>
        <stp>RAOOM AB Equity</stp>
        <stp>HIGH</stp>
        <tr r="M19" s="2"/>
      </tp>
      <tp>
        <v>73</v>
        <stp/>
        <stp>BDP|5719546607965450513|22</stp>
        <stp>EXTRA AB Equity</stp>
        <stp>OPEN</stp>
        <tr r="K52" s="2"/>
      </tp>
      <tp>
        <v>11.38</v>
        <stp/>
        <stp>BDP|8710313437386628613|22</stp>
        <stp>CITYC AB Equity</stp>
        <stp>HIGH</stp>
        <tr r="M223" s="2"/>
      </tp>
      <tp>
        <v>0.52429999999999999</v>
        <stp/>
        <stp>BDP|12518804341578715598|22</stp>
        <stp>SIBC AB Equity</stp>
        <stp>CHG_PCT_1M_RT</stp>
        <tr r="E11" s="2"/>
      </tp>
      <tp>
        <v>-1.8486</v>
        <stp/>
        <stp>BDP|13281135461211259655|22</stp>
        <stp>ZIIC AB Equity</stp>
        <stp>CHG_PCT_1M_RT</stp>
        <tr r="E221" s="2"/>
      </tp>
      <tp>
        <v>-3.6025</v>
        <stp/>
        <stp>BDP|11907279873646674689|22</stp>
        <stp>SGS AB Equity</stp>
        <stp>CHG_PCT_1M_RT</stp>
        <tr r="E281" s="2"/>
      </tp>
      <tp>
        <v>56.1</v>
        <stp/>
        <stp>BDP|11324335750373835153|22</stp>
        <stp>FLYNAS AB Equity</stp>
        <stp>YEST_LAST_TRADE</stp>
        <tr r="G283" s="2"/>
      </tp>
      <tp>
        <v>5</v>
        <stp/>
        <stp>BDP|3001764702673280959|22</stp>
        <stp>RYDREIT AB Equity</stp>
        <stp>OPEN</stp>
        <tr r="K111" s="2"/>
      </tp>
      <tp>
        <v>-2.8159000000000001</v>
        <stp/>
        <stp>BDP|11409941485833491504|22</stp>
        <stp>SRE AB Equity</stp>
        <stp>CHG_PCT_1M_RT</stp>
        <tr r="E251" s="2"/>
      </tp>
      <tp>
        <v>26.12</v>
        <stp/>
        <stp>BDP|17674277317045875696|22</stp>
        <stp>ARAMCO AB Equity</stp>
        <stp>YEST_LAST_TRADE</stp>
        <tr r="G92" s="2"/>
      </tp>
      <tp>
        <v>5.0199999999999996</v>
        <stp/>
        <stp>BDP|6287706501844989808|22</stp>
        <stp>RYDREIT AB Equity</stp>
        <stp>YEST_LAST_TRADE</stp>
        <tr r="G111" s="2"/>
      </tp>
      <tp>
        <v>29.3</v>
        <stp/>
        <stp>BDP|15534311873694678277|22</stp>
        <stp>EQUIPMEN AB Equity</stp>
        <stp>OPEN</stp>
        <tr r="K151" s="2"/>
      </tp>
      <tp>
        <v>11.51</v>
        <stp/>
        <stp>BDP|1601219772011447249|22</stp>
        <stp>JAZTAKAF AB Equity</stp>
        <stp>LOW</stp>
        <tr r="L178" s="2"/>
      </tp>
      <tp t="s">
        <v>#N/A Requesting Data...3772156612</v>
        <stp/>
        <stp>BDP|813575834829452277</stp>
        <tr r="O152" s="2"/>
      </tp>
      <tp>
        <v>-15.7103</v>
        <stp/>
        <stp>BDP|14534748292702164579|22</stp>
        <stp>MEPC AB Equity</stp>
        <stp>CHG_PCT_YTD_RT</stp>
        <tr r="F197" s="2"/>
      </tp>
      <tp>
        <v>-2.5608</v>
        <stp/>
        <stp>BDP|9316486951299815741|22</stp>
        <stp>QACCO AB Equity</stp>
        <stp>CHG_PCT_1M_RT</stp>
        <tr r="E225" s="2"/>
      </tp>
      <tp t="s">
        <v>#N/A N/A</v>
        <stp/>
        <stp>BDH|330817590394308870</stp>
        <tr r="V271" s="2"/>
      </tp>
      <tp t="s">
        <v>#N/A Requesting Data...3444104633</v>
        <stp/>
        <stp>BDP|618029911819742550</stp>
        <tr r="P73" s="2"/>
      </tp>
      <tp t="s">
        <v>#N/A Requesting Data...3276908303</v>
        <stp/>
        <stp>BDP|238891727611866641</stp>
        <tr r="P80" s="2"/>
      </tp>
      <tp t="s">
        <v>#N/A Requesting Data...3484616692</v>
        <stp/>
        <stp>BDP|367891377137477594</stp>
        <tr r="P190" s="2"/>
      </tp>
      <tp>
        <v>22.92</v>
        <stp/>
        <stp>BDP|292155080562751105|22</stp>
        <stp>SAWCEM AB Equity</stp>
        <stp>OPEN</stp>
        <tr r="K204" s="2"/>
      </tp>
      <tp t="s">
        <v>#N/A Requesting Data...3589015740</v>
        <stp/>
        <stp>BDP|497115675239042218</stp>
        <tr r="P125" s="2"/>
      </tp>
      <tp>
        <v>42.96</v>
        <stp/>
        <stp>BDP|2734312384899800986|22</stp>
        <stp>SALEHALR AB Equity</stp>
        <stp>BID</stp>
        <tr r="Q239" s="2"/>
      </tp>
      <tp>
        <v>3.92</v>
        <stp/>
        <stp>BDP|8701645899904381550|22</stp>
        <stp>MUSHREIT AB Equity</stp>
        <stp>BID</stp>
        <tr r="Q103" s="2"/>
      </tp>
      <tp>
        <v>10.07</v>
        <stp/>
        <stp>BDP|8348714155788623175|22</stp>
        <stp>EMAAR AB Equity</stp>
        <stp>HIGH</stp>
        <tr r="M262" s="2"/>
      </tp>
      <tp>
        <v>31.9</v>
        <stp/>
        <stp>BDP|3742599865562991610|22</stp>
        <stp>NSCSA AB Equity</stp>
        <stp>OPEN</stp>
        <tr r="K94" s="2"/>
      </tp>
      <tp>
        <v>93.6</v>
        <stp/>
        <stp>BDP|2554839106113025686|22</stp>
        <stp>NAHDI AB Equity</stp>
        <stp>HIGH</stp>
        <tr r="M86" s="2"/>
      </tp>
      <tp>
        <v>44.98</v>
        <stp/>
        <stp>BDP|7040243998182635129|22</stp>
        <stp>QACCO AB Equity</stp>
        <stp>HIGH</stp>
        <tr r="M225" s="2"/>
      </tp>
      <tp>
        <v>16.91</v>
        <stp/>
        <stp>BDP|3226894130153764405|22</stp>
        <stp>JARIR AB Equity</stp>
        <stp>HIGH</stp>
        <tr r="M51" s="2"/>
      </tp>
      <tp>
        <v>0.67199999094009399</v>
        <stp/>
        <stp>BDP|2543327562951505226|22</stp>
        <stp>RAYDAN AB Equity</stp>
        <stp>RT_PX_CHG_PCT_1D</stp>
        <tr r="D73" s="2"/>
      </tp>
      <tp>
        <v>28.76</v>
        <stp/>
        <stp>BDP|15102910087071953192|22</stp>
        <stp>MODERNMI AB Equity</stp>
        <stp>OPEN</stp>
        <tr r="K137" s="2"/>
      </tp>
      <tp>
        <v>687.5</v>
        <stp/>
        <stp>BDP|7507268446318458759|22</stp>
        <stp>ELM AB Equity</stp>
        <stp>ASK</stp>
        <tr r="R269" s="2"/>
      </tp>
      <tp>
        <v>56.3</v>
        <stp/>
        <stp>BDP|3490448976264256903|22</stp>
        <stp>SPM AB Equity</stp>
        <stp>ASK</stp>
        <tr r="R215" s="2"/>
      </tp>
      <tp>
        <v>98.2</v>
        <stp/>
        <stp>BDP|9609970115264350557|22</stp>
        <stp>DWF AB Equity</stp>
        <stp>LOW</stp>
        <tr r="L70" s="2"/>
      </tp>
      <tp>
        <v>12.23</v>
        <stp/>
        <stp>BDP|8492473013972211710|22</stp>
        <stp>PETROR AB Equity</stp>
        <stp>ASK</stp>
        <tr r="R89" s="2"/>
      </tp>
      <tp>
        <v>31.84</v>
        <stp/>
        <stp>BDP|2294870293216688621|22</stp>
        <stp>MEH AB Equity</stp>
        <stp>BID</stp>
        <tr r="Q152" s="2"/>
      </tp>
      <tp t="s">
        <v>#N/A Requesting Data...4177333085</v>
        <stp/>
        <stp>BDP|869947315514881094</stp>
        <tr r="T67" s="2"/>
      </tp>
      <tp t="s">
        <v>#N/A Requesting Data...3138045711</v>
        <stp/>
        <stp>BDP|134861048610325045</stp>
        <tr r="H65" s="2"/>
      </tp>
      <tp t="s">
        <v>#N/A Requesting Data...3215059948</v>
        <stp/>
        <stp>BDP|242191794125121163</stp>
        <tr r="O176" s="2"/>
      </tp>
      <tp t="s">
        <v>#N/A Requesting Data...3725044857</v>
        <stp/>
        <stp>BDP|389909666443554067</stp>
        <tr r="U177" s="2"/>
      </tp>
      <tp t="s">
        <v>#N/A Requesting Data...3112724115</v>
        <stp/>
        <stp>BDP|441927247044300550</stp>
        <tr r="I138" s="2"/>
      </tp>
      <tp>
        <v>-1.575700044631958</v>
        <stp/>
        <stp>BDP|14237686850371798435|22</stp>
        <stp>BUPA AB Equity</stp>
        <stp>RT_PX_CHG_PCT_1D</stp>
        <tr r="D188" s="2"/>
      </tp>
      <tp t="s">
        <v>#N/A Requesting Data...3822665788</v>
        <stp/>
        <stp>BDP|138576754454451874</stp>
        <tr r="O16" s="2"/>
      </tp>
      <tp>
        <v>5.9413999999999998</v>
        <stp/>
        <stp>BDP|6404680591028586118|22</stp>
        <stp>NMMCC AB Equity</stp>
        <stp>CHG_PCT_1M_RT</stp>
        <tr r="E195" s="2"/>
      </tp>
      <tp t="s">
        <v>#N/A Requesting Data...3712295165</v>
        <stp/>
        <stp>BDP|785991719776005248</stp>
        <tr r="I101" s="2"/>
      </tp>
      <tp>
        <v>14.94</v>
        <stp/>
        <stp>BDP|626831637468926421|22</stp>
        <stp>ALKHLEEJ AB Equity</stp>
        <stp>OPEN</stp>
        <tr r="K64" s="2"/>
      </tp>
      <tp>
        <v>-2.6802000000000001</v>
        <stp/>
        <stp>BDP|6130971174117474777|22</stp>
        <stp>SEERA AB Equity</stp>
        <stp>CHG_PCT_1M_RT</stp>
        <tr r="E74" s="2"/>
      </tp>
      <tp>
        <v>2.4700000000000002</v>
        <stp/>
        <stp>BDP|9984898291816422971|22</stp>
        <stp>AHFCO AB Equity</stp>
        <stp>HIGH</stp>
        <tr r="M60" s="2"/>
      </tp>
      <tp>
        <v>26.94</v>
        <stp/>
        <stp>BDP|12070367216628918561|22</stp>
        <stp>EACCO AB Equity</stp>
        <stp>YEST_LAST_TRADE</stp>
        <tr r="G213" s="2"/>
      </tp>
      <tp>
        <v>72.362300000000005</v>
        <stp/>
        <stp>BDP|1591331493472121078|22</stp>
        <stp>EXTRA AB Equity</stp>
        <stp>VWAP</stp>
        <tr r="N52" s="2"/>
      </tp>
      <tp>
        <v>13.58</v>
        <stp/>
        <stp>BDP|9067520533043911238|22</stp>
        <stp>WATAN AB Equity</stp>
        <stp>HIGH</stp>
        <tr r="M165" s="2"/>
      </tp>
      <tp>
        <v>0.88500000000000001</v>
        <stp/>
        <stp>BDP|15979793574863939398|22</stp>
        <stp>SAIC AB Equity</stp>
        <stp>CHG_PCT_1M_RT</stp>
        <tr r="E117" s="2"/>
      </tp>
      <tp>
        <v>8.6</v>
        <stp/>
        <stp>BDP|9217681376640655282|22</stp>
        <stp>ATTMCO AB Equity</stp>
        <stp>LOW</stp>
        <tr r="L131" s="2"/>
      </tp>
      <tp>
        <v>19.318200000000001</v>
        <stp/>
        <stp>BDP|8221498510980895017|22</stp>
        <stp>SMASCO AB Equity</stp>
        <stp>CHG_PCT_YTD_RT</stp>
        <tr r="F35" s="2"/>
      </tp>
      <tp>
        <v>19.05</v>
        <stp/>
        <stp>BDP|1469871857813294092|22</stp>
        <stp>ACE AB Equity</stp>
        <stp>ASK</stp>
        <tr r="R177" s="2"/>
      </tp>
      <tp>
        <v>-27.818000000000001</v>
        <stp/>
        <stp>BDP|9826452746486147629|22</stp>
        <stp>REDSEA AB Equity</stp>
        <stp>CHG_PCT_YTD_RT</stp>
        <tr r="F252" s="2"/>
      </tp>
      <tp>
        <v>38.86</v>
        <stp/>
        <stp>BDP|4243097301306574274|22</stp>
        <stp>SNB AB Equity</stp>
        <stp>ASK</stp>
        <tr r="R13" s="2"/>
      </tp>
      <tp>
        <v>146.6474</v>
        <stp/>
        <stp>BDP|15068849450495712282|22</stp>
        <stp>TAWUNIYA AB Equity</stp>
        <stp>VWAP</stp>
        <tr r="N183" s="2"/>
      </tp>
      <tp>
        <v>55.25</v>
        <stp/>
        <stp>BDP|9142011017260458679|22</stp>
        <stp>FLYNAS AB Equity</stp>
        <stp>LOW</stp>
        <tr r="L283" s="2"/>
      </tp>
      <tp>
        <v>787560</v>
        <stp/>
        <stp>BDP|9655795640139034241|22</stp>
        <stp>SAVOLA AB Equity</stp>
        <stp>VOLUME</stp>
        <tr r="J143" s="2"/>
      </tp>
      <tp>
        <v>42.92</v>
        <stp/>
        <stp>BDP|17697628385446431581|22</stp>
        <stp>SALEHALR AB Equity</stp>
        <stp>OPEN</stp>
        <tr r="K239" s="2"/>
      </tp>
      <tp>
        <v>28.3</v>
        <stp/>
        <stp>BDP|8994630275080671655|22</stp>
        <stp>SRE AB Equity</stp>
        <stp>BID</stp>
        <tr r="Q251" s="2"/>
      </tp>
      <tp t="s">
        <v>#N/A Requesting Data...3958219186</v>
        <stp/>
        <stp>BDP|766091295055243335</stp>
        <tr r="O247" s="2"/>
      </tp>
      <tp t="s">
        <v>#N/A Requesting Data...3238788842</v>
        <stp/>
        <stp>BDP|515345908265881954</stp>
        <tr r="H178" s="2"/>
      </tp>
      <tp t="s">
        <v>#N/A Requesting Data...4003902192</v>
        <stp/>
        <stp>BDP|439399961273806923</stp>
        <tr r="U168" s="2"/>
      </tp>
      <tp>
        <v>154.6</v>
        <stp/>
        <stp>BDP|7703902158381978388|22</stp>
        <stp>JAMJOOMP AB Equity</stp>
        <stp>LOW</stp>
        <tr r="L248" s="2"/>
      </tp>
      <tp>
        <v>5.65</v>
        <stp/>
        <stp>BDP|1989846909604795046|22</stp>
        <stp>DERAYAHR AB Equity</stp>
        <stp>LOW</stp>
        <tr r="L104" s="2"/>
      </tp>
      <tp>
        <v>54.45</v>
        <stp/>
        <stp>BDP|4215999812962421636|22</stp>
        <stp>FIRSTMIL AB Equity</stp>
        <stp>BID</stp>
        <tr r="Q135" s="2"/>
      </tp>
      <tp>
        <v>63.75</v>
        <stp/>
        <stp>BDP|18293298324849257985|22</stp>
        <stp>MOUWASAT AB Equity</stp>
        <stp>LAST_PRICE</stp>
        <tr r="C156" s="2"/>
        <tr r="B156" s="2"/>
      </tp>
      <tp>
        <v>-0.14790000021457672</v>
        <stp/>
        <stp>BDP|14224849987482195940|22</stp>
        <stp>ALCO AB Equity</stp>
        <stp>RT_PX_CHG_PCT_1D</stp>
        <tr r="D237" s="2"/>
      </tp>
      <tp>
        <v>53</v>
        <stp/>
        <stp>BDP|6438758858247860442|22</stp>
        <stp>ARCCI AB Equity</stp>
        <stp>OPEN</stp>
        <tr r="K166" s="2"/>
      </tp>
      <tp>
        <v>8.5548000000000002</v>
        <stp/>
        <stp>BDP|13716212985368705766|22</stp>
        <stp>GACO AB Equity</stp>
        <stp>CHG_PCT_1M_RT</stp>
        <tr r="E142" s="2"/>
      </tp>
      <tp>
        <v>-13.975</v>
        <stp/>
        <stp>BDP|11809917169707052|22</stp>
        <stp>NADEC AB Equity</stp>
        <stp>CHG_PCT_YTD_RT</stp>
        <tr r="F140" s="2"/>
      </tp>
      <tp>
        <v>25.6</v>
        <stp/>
        <stp>BDP|897684090129657960|22</stp>
        <stp>SAUDIRE AB Equity</stp>
        <stp>LOW</stp>
        <tr r="L167" s="2"/>
      </tp>
      <tp>
        <v>5.48</v>
        <stp/>
        <stp>BDP|2217539573787329935|22</stp>
        <stp>BAAZEEM AB Equity</stp>
        <stp>OPEN</stp>
        <tr r="K48" s="2"/>
      </tp>
      <tp>
        <v>99.85</v>
        <stp/>
        <stp>BDP|5322098715867535573|22</stp>
        <stp>DWF AB Equity</stp>
        <stp>ASK</stp>
        <tr r="R70" s="2"/>
      </tp>
      <tp>
        <v>1606391</v>
        <stp/>
        <stp>BDP|3685016140914528450|22</stp>
        <stp>TAPRCO AB Equity</stp>
        <stp>VOLUME</stp>
        <tr r="J241" s="2"/>
      </tp>
      <tp>
        <v>36.04</v>
        <stp/>
        <stp>BDP|9099308567613589871|22</stp>
        <stp>THIMAR AB Equity</stp>
        <stp>ASK</stp>
        <tr r="R83" s="2"/>
      </tp>
      <tp>
        <v>9.0500000000000007</v>
        <stp/>
        <stp>BDP|7766712178024387574|22</stp>
        <stp>MAATHER AB Equity</stp>
        <stp>YEST_LAST_TRADE</stp>
        <tr r="G106" s="2"/>
      </tp>
      <tp>
        <v>11.6564</v>
        <stp/>
        <stp>BDP|3227090863501690207|22</stp>
        <stp>TAPRCO AB Equity</stp>
        <stp>CHG_PCT_YTD_RT</stp>
        <tr r="F241" s="2"/>
      </tp>
      <tp>
        <v>28.38</v>
        <stp/>
        <stp>BDP|2188977434200865547|22</stp>
        <stp>SRE AB Equity</stp>
        <stp>ASK</stp>
        <tr r="R251" s="2"/>
      </tp>
      <tp>
        <v>39.92</v>
        <stp/>
        <stp>BDP|8829015666189929755|22</stp>
        <stp>ALAMAR AB Equity</stp>
        <stp>BID</stp>
        <tr r="Q77" s="2"/>
      </tp>
      <tp>
        <v>48.16</v>
        <stp/>
        <stp>BDP|18159958824320289313|22</stp>
        <stp>ARABIANM AB Equity</stp>
        <stp>HIGH</stp>
        <tr r="M138" s="2"/>
      </tp>
      <tp>
        <v>55.75</v>
        <stp/>
        <stp>BDP|4232413348411591736|22</stp>
        <stp>FLYNAS AB Equity</stp>
        <stp>ASK</stp>
        <tr r="R283" s="2"/>
      </tp>
      <tp>
        <v>3.35</v>
        <stp/>
        <stp>BDP|6881627534863727506|22</stp>
        <stp>UCA AB Equity</stp>
        <stp>BID</stp>
        <tr r="Q181" s="2"/>
      </tp>
      <tp t="s">
        <v>#N/A Requesting Data...3821838938</v>
        <stp/>
        <stp>BDP|972238481491072575</stp>
        <tr r="X260" s="2"/>
      </tp>
      <tp>
        <v>22.6829</v>
        <stp/>
        <stp>BDP|9854965751875040781|22</stp>
        <stp>ASACO AB Equity</stp>
        <stp>CHG_PCT_1M_RT</stp>
        <tr r="E127" s="2"/>
      </tp>
      <tp>
        <v>-9.1972000000000005</v>
        <stp/>
        <stp>BDP|4396546014259606967|22</stp>
        <stp>THEEB AB Equity</stp>
        <stp>CHG_PCT_1M_RT</stp>
        <tr r="E286" s="2"/>
      </tp>
      <tp t="s">
        <v>#N/A N/A</v>
        <stp/>
        <stp>BDH|703952863383837231</stp>
        <tr r="V34" s="2"/>
      </tp>
      <tp t="s">
        <v>#N/A Requesting Data...3721991901</v>
        <stp/>
        <stp>BDP|785847010164611312</stp>
        <tr r="X47" s="2"/>
      </tp>
      <tp>
        <v>-1.083299994468689</v>
        <stp/>
        <stp>BDP|10538723702975549647|22</stp>
        <stp>APPC AB Equity</stp>
        <stp>RT_PX_CHG_PCT_1D</stp>
        <tr r="D233" s="2"/>
      </tp>
      <tp t="s">
        <v>#N/A Requesting Data...3420089131</v>
        <stp/>
        <stp>BDP|832772460269837626</stp>
        <tr r="O12" s="2"/>
      </tp>
      <tp>
        <v>-1.4140999999999999</v>
        <stp/>
        <stp>BDP|1584690182369542807|22</stp>
        <stp>BINDAWOO AB Equity</stp>
        <stp>CHG_PCT_1M_RT</stp>
        <tr r="E80" s="2"/>
      </tp>
      <tp t="s">
        <v>#N/A Requesting Data...3640618122</v>
        <stp/>
        <stp>BDP|370476371444016923</stp>
        <tr r="O44" s="2"/>
      </tp>
      <tp>
        <v>-18.354399999999998</v>
        <stp/>
        <stp>BDP|14095433791792284339|22</stp>
        <stp>JOUF AB Equity</stp>
        <stp>CHG_PCT_YTD_RT</stp>
        <tr r="F216" s="2"/>
      </tp>
      <tp>
        <v>5.0999999999999996</v>
        <stp/>
        <stp>BDP|11686179757107346739|22</stp>
        <stp>SICOSAUD AB Equity</stp>
        <stp>LAST_PRICE</stp>
        <tr r="C113" s="2"/>
        <tr r="B113" s="2"/>
      </tp>
      <tp>
        <v>119.8</v>
        <stp/>
        <stp>BDP|13260084780840771275|22</stp>
        <stp>RIYADHCA AB Equity</stp>
        <stp>LAST_PRICE</stp>
        <tr r="C23" s="2"/>
        <tr r="B23" s="2"/>
      </tp>
      <tp>
        <v>15.338900000000001</v>
        <stp/>
        <stp>BDP|669064639547367254|22</stp>
        <stp>BSF AB Equity</stp>
        <stp>CHG_PCT_YTD_RT</stp>
        <tr r="F10" s="2"/>
      </tp>
      <tp>
        <v>2.25</v>
        <stp/>
        <stp>BDP|16176660225056380618|22</stp>
        <stp>BATIC AB Equity</stp>
        <stp>YEST_LAST_TRADE</stp>
        <tr r="G26" s="2"/>
      </tp>
      <tp>
        <v>16.915900000000001</v>
        <stp/>
        <stp>BDP|8410640307449150744|22</stp>
        <stp>ASLAK AB Equity</stp>
        <stp>VWAP</stp>
        <tr r="N219" s="2"/>
      </tp>
      <tp>
        <v>-5.4610000000000003</v>
        <stp/>
        <stp>BDP|11681645280712848299|22</stp>
        <stp>SIIG AB Equity</stp>
        <stp>CHG_PCT_1M_RT</stp>
        <tr r="E227" s="2"/>
      </tp>
      <tp>
        <v>17.79</v>
        <stp/>
        <stp>BDP|8446987478644352717|22</stp>
        <stp>ALARKAN AB Equity</stp>
        <stp>OPEN</stp>
        <tr r="K255" s="2"/>
      </tp>
      <tp>
        <v>5.14</v>
        <stp/>
        <stp>BDP|12469869474294301471|22</stp>
        <stp>SICOSAUD AB Equity</stp>
        <stp>HIGH</stp>
        <tr r="M113" s="2"/>
      </tp>
      <tp>
        <v>4.1806000000000001</v>
        <stp/>
        <stp>BDP|10004466457396120532|22</stp>
        <stp>FOURTHMI AB Equity</stp>
        <stp>VWAP</stp>
        <tr r="N132" s="2"/>
      </tp>
      <tp>
        <v>27.92</v>
        <stp/>
        <stp>BDP|18151611861566336156|22</stp>
        <stp>ALHAMMAD AB Equity</stp>
        <stp>HIGH</stp>
        <tr r="M159" s="2"/>
      </tp>
      <tp>
        <v>55.471200000000003</v>
        <stp/>
        <stp>BDP|12963130752591814859|22</stp>
        <stp>FIRSTMIL AB Equity</stp>
        <stp>VWAP</stp>
        <tr r="N135" s="2"/>
      </tp>
      <tp>
        <v>12.22</v>
        <stp/>
        <stp>BDP|8727733148962422708|22</stp>
        <stp>PETROR AB Equity</stp>
        <stp>BID</stp>
        <tr r="Q89" s="2"/>
      </tp>
      <tp>
        <v>32.119999999999997</v>
        <stp/>
        <stp>BDP|1725700307654065361|22</stp>
        <stp>GIG AB Equity</stp>
        <stp>LOW</stp>
        <tr r="L185" s="2"/>
      </tp>
      <tp>
        <v>59.3</v>
        <stp/>
        <stp>BDP|5521137625033002413|22</stp>
        <stp>EEC AB Equity</stp>
        <stp>LOW</stp>
        <tr r="L274" s="2"/>
      </tp>
      <tp t="s">
        <v>#N/A Requesting Data...4041363473</v>
        <stp/>
        <stp>BDP|796324039610257927</stp>
        <tr r="T159" s="2"/>
      </tp>
      <tp t="s">
        <v>#N/A Requesting Data...3906487344</v>
        <stp/>
        <stp>BDP|863911026625983787</stp>
        <tr r="T213" s="2"/>
      </tp>
      <tp t="s">
        <v>#N/A Requesting Data...3323651386</v>
        <stp/>
        <stp>BDP|705193286320106073</stp>
        <tr r="S246" s="2"/>
      </tp>
      <tp t="s">
        <v>#N/A Requesting Data...3446065664</v>
        <stp/>
        <stp>BDP|935954756732020727</stp>
        <tr r="H24" s="2"/>
      </tp>
      <tp>
        <v>-4.0541</v>
        <stp/>
        <stp>BDP|6861084763430574128|22</stp>
        <stp>SRECO AB Equity</stp>
        <stp>CHG_PCT_1M_RT</stp>
        <tr r="E254" s="2"/>
      </tp>
      <tp>
        <v>61.15</v>
        <stp/>
        <stp>BDP|6507919759098438178|22</stp>
        <stp>ALMUNAJE AB Equity</stp>
        <stp>LOW</stp>
        <tr r="L87" s="2"/>
      </tp>
      <tp t="s">
        <v>#N/A Requesting Data...3421299825</v>
        <stp/>
        <stp>BDP|764140638202874990</stp>
        <tr r="S142" s="2"/>
      </tp>
      <tp>
        <v>12.701000000000001</v>
        <stp/>
        <stp>BDP|5270815090623488076|22</stp>
        <stp>TAACO AB Equity</stp>
        <stp>CHG_PCT_1M_RT</stp>
        <tr r="E141" s="2"/>
      </tp>
      <tp>
        <v>2.0499999999999998</v>
        <stp/>
        <stp>BDP|4282302579953099194|22</stp>
        <stp>AMERICAN AB Equity</stp>
        <stp>LOW</stp>
        <tr r="L68" s="2"/>
      </tp>
      <tp t="s">
        <v>#N/A Requesting Data...3236662335</v>
        <stp/>
        <stp>BDP|632812283760595941</stp>
        <tr r="O104" s="2"/>
      </tp>
      <tp>
        <v>1.4938</v>
        <stp/>
        <stp>BDP|2918483365770134372|22</stp>
        <stp>ARCCO AB Equity</stp>
        <stp>CHG_PCT_1M_RT</stp>
        <tr r="E231" s="2"/>
      </tp>
      <tp>
        <v>74519</v>
        <stp/>
        <stp>BDP|18423571566514172266|22</stp>
        <stp>NAQI AB Equity</stp>
        <stp>VOLUME</stp>
        <tr r="J136" s="2"/>
      </tp>
      <tp>
        <v>43.300400000000003</v>
        <stp/>
        <stp>BDP|12562369863142181638|22</stp>
        <stp>MESC AB Equity</stp>
        <stp>CHG_PCT_YTD_RT</stp>
        <tr r="F21" s="2"/>
      </tp>
      <tp t="s">
        <v>#N/A Requesting Data...4238969135</v>
        <stp/>
        <stp>BDP|815712458263216800</stp>
        <tr r="I200" s="2"/>
      </tp>
      <tp>
        <v>-5.6212999999999997</v>
        <stp/>
        <stp>BDP|6327637522897023207|22</stp>
        <stp>NSCSA AB Equity</stp>
        <stp>CHG_PCT_1M_RT</stp>
        <tr r="E94" s="2"/>
      </tp>
      <tp>
        <v>112.6</v>
        <stp/>
        <stp>BDP|7391551814814218924|22</stp>
        <stp>AWPT AB Equity</stp>
        <stp>YEST_LAST_TRADE</stp>
        <tr r="G290" s="2"/>
      </tp>
      <tp>
        <v>3.2000000476837158</v>
        <stp/>
        <stp>BDP|10804185452298164465|22</stp>
        <stp>JOUF AB Equity</stp>
        <stp>RT_PX_CHG_PCT_1D</stp>
        <tr r="D216" s="2"/>
      </tp>
      <tp>
        <v>10.9</v>
        <stp/>
        <stp>BDP|4093695781330485246|22</stp>
        <stp>JADWAREI AB Equity</stp>
        <stp>ASK</stp>
        <tr r="R105" s="2"/>
      </tp>
      <tp>
        <v>0.78869998455047607</v>
        <stp/>
        <stp>BDP|14006441656972401034|22</stp>
        <stp>ADCO AB Equity</stp>
        <stp>RT_PX_CHG_PCT_1D</stp>
        <tr r="D260" s="2"/>
      </tp>
      <tp>
        <v>7.24</v>
        <stp/>
        <stp>BDP|7761524648478637580|22</stp>
        <stp>TAACO AB Equity</stp>
        <stp>HIGH</stp>
        <tr r="M141" s="2"/>
      </tp>
      <tp>
        <v>15.4</v>
        <stp/>
        <stp>BDP|2256611501750655190|22</stp>
        <stp>JOMAR AB Equity</stp>
        <stp>HIGH</stp>
        <tr r="M66" s="2"/>
      </tp>
      <tp>
        <v>7.43</v>
        <stp/>
        <stp>BDP|6607759017207450013|22</stp>
        <stp>AMANA AB Equity</stp>
        <stp>HIGH</stp>
        <tr r="M176" s="2"/>
      </tp>
      <tp>
        <v>18.12</v>
        <stp/>
        <stp>BDP|4367355887423842754|22</stp>
        <stp>MASAR AB Equity</stp>
        <stp>HIGH</stp>
        <tr r="M253" s="2"/>
      </tp>
      <tp>
        <v>16.66</v>
        <stp/>
        <stp>BDP|2411259752462763870|22</stp>
        <stp>MEDGULF AB Equity</stp>
        <stp>HIGH</stp>
        <tr r="M171" s="2"/>
      </tp>
      <tp>
        <v>15.36</v>
        <stp/>
        <stp>BDP|3365681358587357712|22</stp>
        <stp>MIAHONA AB Equity</stp>
        <stp>HIGH</stp>
        <tr r="M292" s="2"/>
      </tp>
      <tp>
        <v>11.81</v>
        <stp/>
        <stp>BDP|11614956227708159824|22</stp>
        <stp>JAZTAKAF AB Equity</stp>
        <stp>HIGH</stp>
        <tr r="M178" s="2"/>
      </tp>
      <tp>
        <v>67.25</v>
        <stp/>
        <stp>BDP|10253362116454690283|22</stp>
        <stp>ALBABTAI AB Equity</stp>
        <stp>HIGH</stp>
        <tr r="M15" s="2"/>
      </tp>
      <tp t="s">
        <v>#N/A Requesting Data...3876287904</v>
        <stp/>
        <stp>BDP|700061328928461213</stp>
        <tr r="O181" s="2"/>
      </tp>
      <tp t="s">
        <v>#N/A Requesting Data...3311260527</v>
        <stp/>
        <stp>BDP|917837781309277144</stp>
        <tr r="I140" s="2"/>
      </tp>
      <tp t="s">
        <v>#N/A Requesting Data...3573483620</v>
        <stp/>
        <stp>BDP|408875698479299006</stp>
        <tr r="H271" s="2"/>
      </tp>
      <tp>
        <v>4.5976999999999997</v>
        <stp/>
        <stp>BDP|8514616802281795292|22</stp>
        <stp>JAHEZ AB Equity</stp>
        <stp>CHG_PCT_1M_RT</stp>
        <tr r="E62" s="2"/>
      </tp>
      <tp>
        <v>4.16</v>
        <stp/>
        <stp>BDP|17935719813419524603|22</stp>
        <stp>FOURTHMI AB Equity</stp>
        <stp>LAST_PRICE</stp>
        <tr r="B132" s="2"/>
        <tr r="C132" s="2"/>
      </tp>
      <tp>
        <v>-10.289899999999999</v>
        <stp/>
        <stp>BDP|5577827776430415130|22</stp>
        <stp>SAFCO AB Equity</stp>
        <stp>CHG_PCT_1M_RT</stp>
        <tr r="E238" s="2"/>
      </tp>
      <tp>
        <v>11.6</v>
        <stp/>
        <stp>BDP|9860127625871899122|22</stp>
        <stp>SAGR AB Equity</stp>
        <stp>YEST_LAST_TRADE</stp>
        <tr r="G184" s="2"/>
      </tp>
      <tp>
        <v>145.5</v>
        <stp/>
        <stp>BDP|8673993550367743414|22</stp>
        <stp>TAWUNIYA AB Equity</stp>
        <stp>LOW</stp>
        <tr r="L183" s="2"/>
      </tp>
      <tp>
        <v>220</v>
        <stp/>
        <stp>BDP|6065190889414017271|22</stp>
        <stp>EASTPIPE AB Equity</stp>
        <stp>LOW</stp>
        <tr r="L217" s="2"/>
      </tp>
      <tp>
        <v>8.2100000000000009</v>
        <stp/>
        <stp>BDP|7000218854013439894|22</stp>
        <stp>ALRAJHI AB Equity</stp>
        <stp>HIGH</stp>
        <tr r="M98" s="2"/>
      </tp>
      <tp>
        <v>23.5</v>
        <stp/>
        <stp>BDP|12972037940183634810|22</stp>
        <stp>CHERRY AB Equity</stp>
        <stp>YEST_LAST_TRADE</stp>
        <tr r="G53" s="2"/>
      </tp>
      <tp>
        <v>10.2805</v>
        <stp/>
        <stp>BDP|26389723135224821|22</stp>
        <stp>TAIBA AB Equity</stp>
        <stp>CHG_PCT_YTD_RT</stp>
        <tr r="F264" s="2"/>
      </tp>
      <tp>
        <v>-1.7273000000000001</v>
        <stp/>
        <stp>BDP|15671550484090855386|22</stp>
        <stp>STC AB Equity</stp>
        <stp>CHG_PCT_1M_RT</stp>
        <tr r="E275" s="2"/>
      </tp>
      <tp>
        <v>5.6803999999999997</v>
        <stp/>
        <stp>BDP|13714673154023473615|22</stp>
        <stp>DERAYAHR AB Equity</stp>
        <stp>VWAP</stp>
        <tr r="N104" s="2"/>
      </tp>
      <tp>
        <v>32.4</v>
        <stp/>
        <stp>BDP|9624639902650833757|22</stp>
        <stp>HB AB Equity</stp>
        <stp>YEST_LAST_TRADE</stp>
        <tr r="G139" s="2"/>
      </tp>
      <tp>
        <v>119</v>
        <stp/>
        <stp>BDP|12322462482771859916|22</stp>
        <stp>RIYADHCA AB Equity</stp>
        <stp>OPEN</stp>
        <tr r="K23" s="2"/>
      </tp>
      <tp>
        <v>97282</v>
        <stp/>
        <stp>BDP|4318428968842541917|22</stp>
        <stp>ZOUJAJ AB Equity</stp>
        <stp>VOLUME</stp>
        <tr r="J220" s="2"/>
      </tp>
      <tp>
        <v>221.97120000000001</v>
        <stp/>
        <stp>BDP|11142660401990603782|22</stp>
        <stp>EASTPIPE AB Equity</stp>
        <stp>VWAP</stp>
        <tr r="N217" s="2"/>
      </tp>
      <tp>
        <v>197444</v>
        <stp/>
        <stp>BDP|9651995283925281544|22</stp>
        <stp>SHIELD AB Equity</stp>
        <stp>VOLUME</stp>
        <tr r="J174" s="2"/>
      </tp>
      <tp>
        <v>14.96</v>
        <stp/>
        <stp>BDP|4197332587126055275|22</stp>
        <stp>SHL AB Equity</stp>
        <stp>ASK</stp>
        <tr r="R118" s="2"/>
      </tp>
      <tp>
        <v>23.8</v>
        <stp/>
        <stp>BDP|9315545231866521067|22</stp>
        <stp>SCH AB Equity</stp>
        <stp>BID</stp>
        <tr r="Q47" s="2"/>
      </tp>
      <tp>
        <v>3.9243999999999999</v>
        <stp/>
        <stp>BDP|11810977253574683058|22</stp>
        <stp>MUSHREIT AB Equity</stp>
        <stp>VWAP</stp>
        <tr r="N103" s="2"/>
      </tp>
      <tp>
        <v>176.2</v>
        <stp/>
        <stp>BDP|9362260994381971272|22</stp>
        <stp>SAL AB Equity</stp>
        <stp>LOW</stp>
        <tr r="L282" s="2"/>
      </tp>
      <tp>
        <v>-0.76690000000000003</v>
        <stp/>
        <stp>BDP|5464696468748396047|22</stp>
        <stp>ALBABTAI AB Equity</stp>
        <stp>CHG_PCT_1M_RT</stp>
        <tr r="E15" s="2"/>
      </tp>
      <tp t="s">
        <v>#N/A Requesting Data...4001055079</v>
        <stp/>
        <stp>BDP|733690182013452661</stp>
        <tr r="P160" s="2"/>
      </tp>
      <tp t="s">
        <v>#N/A Requesting Data...3855112702</v>
        <stp/>
        <stp>BDP|173493692485191345</stp>
        <tr r="H206" s="2"/>
      </tp>
      <tp>
        <v>3.4335</v>
        <stp/>
        <stp>BDP|3905024236966236190|22</stp>
        <stp>SIECO AB Equity</stp>
        <stp>CHG_PCT_1M_RT</stp>
        <tr r="E29" s="2"/>
      </tp>
      <tp t="s">
        <v>#N/A Requesting Data...3768667334</v>
        <stp/>
        <stp>BDP|323033982837172499</stp>
        <tr r="X72" s="2"/>
      </tp>
      <tp t="s">
        <v>#N/A Requesting Data...3495301598</v>
        <stp/>
        <stp>BDP|676864028118302906</stp>
        <tr r="P218" s="2"/>
      </tp>
      <tp t="s">
        <v>#N/A Requesting Data...3513508319</v>
        <stp/>
        <stp>BDP|281495473089756187</stp>
        <tr r="H201" s="2"/>
      </tp>
      <tp>
        <v>11.75</v>
        <stp/>
        <stp>BDP|14075961538594996190|22</stp>
        <stp>JAZTAKAF AB Equity</stp>
        <stp>LAST_PRICE</stp>
        <tr r="B178" s="2"/>
        <tr r="C178" s="2"/>
      </tp>
      <tp t="s">
        <v>#N/A N/A</v>
        <stp/>
        <stp>BDH|488404633278652418</stp>
        <tr r="V234" s="2"/>
      </tp>
      <tp t="s">
        <v>#N/A Requesting Data...3964391282</v>
        <stp/>
        <stp>BDP|605772015964203976</stp>
        <tr r="T169" s="2"/>
      </tp>
      <tp t="s">
        <v>#N/A Requesting Data...4037144482</v>
        <stp/>
        <stp>BDP|744590887437921111</stp>
        <tr r="P83" s="2"/>
      </tp>
      <tp t="s">
        <v>#N/A Requesting Data...3308873849</v>
        <stp/>
        <stp>BDP|416363184261379169</stp>
        <tr r="H283" s="2"/>
      </tp>
      <tp>
        <v>12.15</v>
        <stp/>
        <stp>BDP|402859446408181631|22</stp>
        <stp>PETROR AB Equity</stp>
        <stp>OPEN</stp>
        <tr r="K89" s="2"/>
      </tp>
      <tp>
        <v>-1.6935000419616699</v>
        <stp/>
        <stp>BDP|10390287630716420491|22</stp>
        <stp>BJAZ AB Equity</stp>
        <stp>RT_PX_CHG_PCT_1D</stp>
        <tr r="D6" s="2"/>
      </tp>
      <tp>
        <v>0.98519998788833618</v>
        <stp/>
        <stp>BDP|10400728408283258278|22</stp>
        <stp>AATD AB Equity</stp>
        <stp>RT_PX_CHG_PCT_1D</stp>
        <tr r="D76" s="2"/>
      </tp>
      <tp>
        <v>12.79</v>
        <stp/>
        <stp>BDP|2492718967931544713|22</stp>
        <stp>NMMCC AB Equity</stp>
        <stp>HIGH</stp>
        <tr r="M195" s="2"/>
      </tp>
      <tp>
        <v>-2.9702999999999999</v>
        <stp/>
        <stp>BDP|17594688311695962202|22</stp>
        <stp>ADES AB Equity</stp>
        <stp>CHG_PCT_1M_RT</stp>
        <tr r="E90" s="2"/>
      </tp>
      <tp>
        <v>131.80000000000001</v>
        <stp/>
        <stp>BDP|2152334298952448886|22</stp>
        <stp>ASTRA AB Equity</stp>
        <stp>OPEN</stp>
        <tr r="K27" s="2"/>
      </tp>
      <tp>
        <v>55.7</v>
        <stp/>
        <stp>BDP|5629246377880623901|22</stp>
        <stp>SARCO AB Equity</stp>
        <stp>HIGH</stp>
        <tr r="M93" s="2"/>
      </tp>
      <tp>
        <v>42.84</v>
        <stp/>
        <stp>BDP|7664025877954251531|22</stp>
        <stp>YAMAMAH AB Equity</stp>
        <stp>HIGH</stp>
        <tr r="M214" s="2"/>
      </tp>
      <tp>
        <v>219.6</v>
        <stp/>
        <stp>BDP|8194181600578131620|22</stp>
        <stp>SADAFCO AB Equity</stp>
        <stp>HIGH</stp>
        <tr r="M134" s="2"/>
      </tp>
      <tp>
        <v>8.1999999999999993</v>
        <stp/>
        <stp>BDP|163205746545000252|22</stp>
        <stp>ALRAJHI AB Equity</stp>
        <stp>ASK</stp>
        <tr r="R98" s="2"/>
      </tp>
      <tp>
        <v>17.998999999999999</v>
        <stp/>
        <stp>BDP|2174878627944540051|22</stp>
        <stp>ALARKAN AB Equity</stp>
        <stp>VWAP</stp>
        <tr r="N255" s="2"/>
      </tp>
      <tp>
        <v>10.029999999999999</v>
        <stp/>
        <stp>BDP|340274601113180995|22</stp>
        <stp>EMAAR AB Equity</stp>
        <stp>YEST_LAST_TRADE</stp>
        <tr r="G262" s="2"/>
      </tp>
      <tp>
        <v>114.7</v>
        <stp/>
        <stp>BDP|5959702221867272100|22</stp>
        <stp>ALDREES AB Equity</stp>
        <stp>YEST_LAST_TRADE</stp>
        <tr r="G46" s="2"/>
      </tp>
      <tp>
        <v>462510</v>
        <stp/>
        <stp>BDP|8311181146402286382|22</stp>
        <stp>YANSAB AB Equity</stp>
        <stp>VOLUME</stp>
        <tr r="J205" s="2"/>
      </tp>
      <tp>
        <v>-1.9823999999999999</v>
        <stp/>
        <stp>BDP|1091423868640781548|22</stp>
        <stp>SCERCO AB Equity</stp>
        <stp>CHG_PCT_YTD_RT</stp>
        <tr r="F20" s="2"/>
      </tp>
      <tp>
        <v>1298357</v>
        <stp/>
        <stp>BDP|9352556983367833451|22</stp>
        <stp>SMASCO AB Equity</stp>
        <stp>VOLUME</stp>
        <tr r="J35" s="2"/>
      </tp>
      <tp>
        <v>205.7</v>
        <stp/>
        <stp>BDP|16943993253586138729|22</stp>
        <stp>SOLUTION AB Equity</stp>
        <stp>HIGH</stp>
        <tr r="M270" s="2"/>
      </tp>
      <tp>
        <v>9.0399999999999991</v>
        <stp/>
        <stp>BDP|7550965748518481034|22</stp>
        <stp>NIC AB Equity</stp>
        <stp>ASK</stp>
        <tr r="R224" s="2"/>
      </tp>
      <tp>
        <v>22.04</v>
        <stp/>
        <stp>BDP|6431001361703393216|22</stp>
        <stp>DERAYAH AB Equity</stp>
        <stp>YEST_LAST_TRADE</stp>
        <tr r="G116" s="2"/>
      </tp>
      <tp>
        <v>14.95</v>
        <stp/>
        <stp>BDP|8048143425408320424|22</stp>
        <stp>SHL AB Equity</stp>
        <stp>BID</stp>
        <tr r="Q118" s="2"/>
      </tp>
      <tp>
        <v>55.9</v>
        <stp/>
        <stp>BDP|2483727716092728940|22</stp>
        <stp>ALRAMZ AB Equity</stp>
        <stp>ASK</stp>
        <tr r="R265" s="2"/>
      </tp>
      <tp>
        <v>978878</v>
        <stp/>
        <stp>BDP|16279312171184116532|22</stp>
        <stp>MEPC AB Equity</stp>
        <stp>VOLUME</stp>
        <tr r="J197" s="2"/>
      </tp>
      <tp t="s">
        <v>#N/A Requesting Data...3944200122</v>
        <stp/>
        <stp>BDP|892165720489246013</stp>
        <tr r="U286" s="2"/>
      </tp>
      <tp t="s">
        <v>#N/A Requesting Data...3821204261</v>
        <stp/>
        <stp>BDP|333720707125291894</stp>
        <tr r="X19" s="2"/>
      </tp>
      <tp>
        <v>-1.1292</v>
        <stp/>
        <stp>BDP|9729161914817572910|22</stp>
        <stp>TACCO AB Equity</stp>
        <stp>CHG_PCT_1M_RT</stp>
        <tr r="E212" s="2"/>
      </tp>
      <tp>
        <v>16.4773</v>
        <stp/>
        <stp>BDP|18165961425399527916|22</stp>
        <stp>AATD AB Equity</stp>
        <stp>CHG_PCT_YTD_RT</stp>
        <tr r="F76" s="2"/>
      </tp>
      <tp t="s">
        <v>#N/A Requesting Data...3974169328</v>
        <stp/>
        <stp>BDP|171396811691324926</stp>
        <tr r="X218" s="2"/>
      </tp>
      <tp>
        <v>4.5731999999999999</v>
        <stp/>
        <stp>BDP|3760637638091701019|22</stp>
        <stp>ARABIANM AB Equity</stp>
        <stp>CHG_PCT_1M_RT</stp>
        <tr r="E138" s="2"/>
      </tp>
      <tp>
        <v>1.9706999999999999</v>
        <stp/>
        <stp>BDP|4354752775713989006|22</stp>
        <stp>ARABIAND AB Equity</stp>
        <stp>CHG_PCT_1M_RT</stp>
        <tr r="E91" s="2"/>
      </tp>
      <tp>
        <v>54.5</v>
        <stp/>
        <stp>BDP|8549849700888636135|22</stp>
        <stp>FIRSTMIL AB Equity</stp>
        <stp>ASK</stp>
        <tr r="R135" s="2"/>
      </tp>
      <tp t="s">
        <v>#N/A Requesting Data...4153169319</v>
        <stp/>
        <stp>BDP|878939844144409315</stp>
        <tr r="O231" s="2"/>
      </tp>
      <tp>
        <v>3.94</v>
        <stp/>
        <stp>BDP|6858878691416591630|22</stp>
        <stp>MUSHREIT AB Equity</stp>
        <stp>ASK</stp>
        <tr r="R103" s="2"/>
      </tp>
      <tp t="s">
        <v>#N/A N/A</v>
        <stp/>
        <stp>BDH|564009044889437747</stp>
        <tr r="V97" s="2"/>
      </tp>
      <tp>
        <v>-4.0724</v>
        <stp/>
        <stp>BDP|5066168385906696660|22</stp>
        <stp>SULAIMAN AB Equity</stp>
        <stp>CHG_PCT_1M_RT</stp>
        <tr r="E153" s="2"/>
      </tp>
      <tp t="s">
        <v>#N/A Requesting Data...3501151207</v>
        <stp/>
        <stp>BDP|792938516347474559</stp>
        <tr r="U219" s="2"/>
      </tp>
      <tp>
        <v>-1.7762000560760498</v>
        <stp/>
        <stp>BDP|13795021848487100498|22</stp>
        <stp>AWPT AB Equity</stp>
        <stp>RT_PX_CHG_PCT_1D</stp>
        <tr r="D290" s="2"/>
      </tp>
      <tp>
        <v>4.16</v>
        <stp/>
        <stp>BDP|8442237960474943017|22</stp>
        <stp>FOURTHMI AB Equity</stp>
        <stp>BID</stp>
        <tr r="Q132" s="2"/>
      </tp>
      <tp>
        <v>4.2353000640869141</v>
        <stp/>
        <stp>BDP|17105099663235255287|22</stp>
        <stp>AICC AB Equity</stp>
        <stp>RT_PX_CHG_PCT_1D</stp>
        <tr r="D168" s="2"/>
      </tp>
      <tp>
        <v>-0.97359997034072876</v>
        <stp/>
        <stp>BDP|14601552892358209756|22</stp>
        <stp>AMAK AB Equity</stp>
        <stp>RT_PX_CHG_PCT_1D</stp>
        <tr r="D196" s="2"/>
      </tp>
      <tp>
        <v>11.81</v>
        <stp/>
        <stp>BDP|6232252554464943719|22</stp>
        <stp>BJAZ AB Equity</stp>
        <stp>YEST_LAST_TRADE</stp>
        <tr r="G6" s="2"/>
      </tp>
      <tp>
        <v>90.65</v>
        <stp/>
        <stp>BDP|9621257408934279454|22</stp>
        <stp>ALARABIA AB Equity</stp>
        <stp>ASK</stp>
        <tr r="R244" s="2"/>
      </tp>
      <tp>
        <v>2.44</v>
        <stp/>
        <stp>BDP|7337723231971640234|22</stp>
        <stp>SIECO AB Equity</stp>
        <stp>HIGH</stp>
        <tr r="M29" s="2"/>
      </tp>
      <tp>
        <v>0.40400000000000003</v>
        <stp/>
        <stp>BDP|18092988256431196465|22</stp>
        <stp>JADWA AB Equity</stp>
        <stp>CHG_PCT_YTD_RT</stp>
        <tr r="F101" s="2"/>
      </tp>
      <tp>
        <v>-10.0641</v>
        <stp/>
        <stp>BDP|14979125350292283712|22</stp>
        <stp>NGIC AB Equity</stp>
        <stp>CHG_PCT_1M_RT</stp>
        <tr r="E293" s="2"/>
      </tp>
      <tp>
        <v>53</v>
        <stp/>
        <stp>BDP|10197648002791922523|22</stp>
        <stp>ARCCI AB Equity</stp>
        <stp>YEST_LAST_TRADE</stp>
        <tr r="G166" s="2"/>
      </tp>
      <tp>
        <v>0.72670000791549683</v>
        <stp/>
        <stp>BDP|2999399525667949673|22</stp>
        <stp>THIMAR AB Equity</stp>
        <stp>RT_PX_CHG_PCT_1D</stp>
        <tr r="D83" s="2"/>
      </tp>
      <tp>
        <v>5.0484999999999998</v>
        <stp/>
        <stp>BDP|3807685992259291841|22</stp>
        <stp>MAHARAH AB Equity</stp>
        <stp>VWAP</stp>
        <tr r="N34" s="2"/>
      </tp>
      <tp>
        <v>10.27</v>
        <stp/>
        <stp>BDP|8841981815049327616|22</stp>
        <stp>MALATH AB Equity</stp>
        <stp>ASK</stp>
        <tr r="R182" s="2"/>
      </tp>
      <tp>
        <v>350827</v>
        <stp/>
        <stp>BDP|4405522344291041667|22</stp>
        <stp>NAJRAN AB Equity</stp>
        <stp>VOLUME</stp>
        <tr r="J211" s="2"/>
      </tp>
      <tp>
        <v>4.4599998742341995E-2</v>
        <stp/>
        <stp>BDP|13758169145385900056|22</stp>
        <stp>QACCO AB Equity</stp>
        <stp>RT_PX_CHG_PCT_1D</stp>
        <tr r="D225" s="2"/>
      </tp>
      <tp>
        <v>14.92</v>
        <stp/>
        <stp>BDP|8543566486322986362|22</stp>
        <stp>RAYDAN AB Equity</stp>
        <stp>LOW</stp>
        <tr r="L73" s="2"/>
      </tp>
      <tp>
        <v>3.2609000205993652</v>
        <stp/>
        <stp>BDP|13220527506971789840|22</stp>
        <stp>CMCER AB Equity</stp>
        <stp>RT_PX_CHG_PCT_1D</stp>
        <tr r="D161" s="2"/>
      </tp>
      <tp>
        <v>155.4</v>
        <stp/>
        <stp>BDP|14770006413257544261|22</stp>
        <stp>JAMJOOMP AB Equity</stp>
        <stp>OPEN</stp>
        <tr r="K248" s="2"/>
      </tp>
      <tp>
        <v>9.9512996673583984</v>
        <stp/>
        <stp>BDP|17087572453415920666|22</stp>
        <stp>SFICO AB Equity</stp>
        <stp>RT_PX_CHG_PCT_1D</stp>
        <tr r="D130" s="2"/>
      </tp>
      <tp>
        <v>473139</v>
        <stp/>
        <stp>BDP|1049909964163979399|22</stp>
        <stp>OBEKAN AB Equity</stp>
        <stp>VOLUME</stp>
        <tr r="J24" s="2"/>
      </tp>
      <tp>
        <v>17.66</v>
        <stp/>
        <stp>BDP|4163051858329911483|22</stp>
        <stp>ALARKAN AB Equity</stp>
        <stp>YEST_LAST_TRADE</stp>
        <tr r="G255" s="2"/>
      </tp>
      <tp>
        <v>-0.11100000143051147</v>
        <stp/>
        <stp>BDP|16729481172446253061|22</stp>
        <stp>MASAR AB Equity</stp>
        <stp>RT_PX_CHG_PCT_1D</stp>
        <tr r="D253" s="2"/>
      </tp>
      <tp>
        <v>11.88</v>
        <stp/>
        <stp>BDP|5151650707286217236|22</stp>
        <stp>SHIELD AB Equity</stp>
        <stp>LOW</stp>
        <tr r="L174" s="2"/>
      </tp>
      <tp>
        <v>18</v>
        <stp/>
        <stp>BDP|5211627137235214307|22</stp>
        <stp>SECO AB Equity</stp>
        <stp>YEST_LAST_TRADE</stp>
        <tr r="G291" s="2"/>
      </tp>
      <tp>
        <v>17.07</v>
        <stp/>
        <stp>BDP|8098782834207630000|22</stp>
        <stp>CENOMICE AB Equity</stp>
        <stp>BID</stp>
        <tr r="Q259" s="2"/>
      </tp>
      <tp>
        <v>13.2752</v>
        <stp/>
        <stp>BDP|14768336329961218715|22</stp>
        <stp>FPCO AB Equity</stp>
        <stp>CHG_PCT_YTD_RT</stp>
        <tr r="F147" s="2"/>
      </tp>
      <tp>
        <v>1.1268</v>
        <stp/>
        <stp>BDP|3515065412689426162|22</stp>
        <stp>MODERNMI AB Equity</stp>
        <stp>CHG_PCT_1M_RT</stp>
        <tr r="E137" s="2"/>
      </tp>
      <tp>
        <v>7.49</v>
        <stp/>
        <stp>BDP|3796417229289627952|22</stp>
        <stp>MRNA AB Equity</stp>
        <stp>YEST_LAST_TRADE</stp>
        <tr r="G124" s="2"/>
      </tp>
      <tp>
        <v>10.031499999999999</v>
        <stp/>
        <stp>BDP|182571509385110984|22</stp>
        <stp>BONYAN AB Equity</stp>
        <stp>VWAP</stp>
        <tr r="N114" s="2"/>
      </tp>
      <tp t="s">
        <v>#N/A N/A</v>
        <stp/>
        <stp>BDP|6856708429994210977|22</stp>
        <stp>CHEMANOL AB Equity</stp>
        <stp>ASK</stp>
        <tr r="R234" s="2"/>
      </tp>
      <tp>
        <v>22.809899999999999</v>
        <stp/>
        <stp>BDP|17045619221424015467|22</stp>
        <stp>AMANA AB Equity</stp>
        <stp>CHG_PCT_YTD_RT</stp>
        <tr r="F176" s="2"/>
      </tp>
      <tp>
        <v>27.44</v>
        <stp/>
        <stp>BDP|3892191338207939802|22</stp>
        <stp>EACCO AB Equity</stp>
        <stp>OPEN</stp>
        <tr r="K213" s="2"/>
      </tp>
      <tp>
        <v>-21.1859</v>
        <stp/>
        <stp>BDP|16705786335469978055|22</stp>
        <stp>ENTAJ AB Equity</stp>
        <stp>CHG_PCT_YTD_RT</stp>
        <tr r="F129" s="2"/>
      </tp>
      <tp>
        <v>14.33</v>
        <stp/>
        <stp>BDP|15131951831211602890|22</stp>
        <stp>HERFY AB Equity</stp>
        <stp>YEST_LAST_TRADE</stp>
        <tr r="G69" s="2"/>
      </tp>
      <tp>
        <v>-2.1499000000000001</v>
        <stp/>
        <stp>BDP|251175669815561920|22</stp>
        <stp>MEH AB Equity</stp>
        <stp>CHG_PCT_YTD_RT</stp>
        <tr r="F152" s="2"/>
      </tp>
      <tp>
        <v>-9.0373999999999999</v>
        <stp/>
        <stp>BDP|15509763452487311666|22</stp>
        <stp>ASLAK AB Equity</stp>
        <stp>CHG_PCT_YTD_RT</stp>
        <tr r="F219" s="2"/>
      </tp>
      <tp>
        <v>73.25</v>
        <stp/>
        <stp>BDP|1896498325121501847|22</stp>
        <stp>EXTRA AB Equity</stp>
        <stp>HIGH</stp>
        <tr r="M52" s="2"/>
      </tp>
      <tp>
        <v>44.8</v>
        <stp/>
        <stp>BDP|9213951737839623543|22</stp>
        <stp>ALMARAI AB Equity</stp>
        <stp>OPEN</stp>
        <tr r="K144" s="2"/>
      </tp>
      <tp>
        <v>6.49</v>
        <stp/>
        <stp>BDP|11064553041663726512|22</stp>
        <stp>ALAHLI AB Equity</stp>
        <stp>YEST_LAST_TRADE</stp>
        <tr r="G107" s="2"/>
      </tp>
      <tp>
        <v>44.06</v>
        <stp/>
        <stp>BDP|14904707613653884224|22</stp>
        <stp>SALEHALR AB Equity</stp>
        <stp>HIGH</stp>
        <tr r="M239" s="2"/>
      </tp>
      <tp>
        <v>15.295299999999999</v>
        <stp/>
        <stp>BDP|10404550915505876120|22</stp>
        <stp>ALKHLEEJ AB Equity</stp>
        <stp>VWAP</stp>
        <tr r="N64" s="2"/>
      </tp>
      <tp>
        <v>16.55</v>
        <stp/>
        <stp>BDP|3915434835936657644|22</stp>
        <stp>TAPRCO AB Equity</stp>
        <stp>LOW</stp>
        <tr r="L241" s="2"/>
      </tp>
      <tp>
        <v>7.6509</v>
        <stp/>
        <stp>BDP|5547284281164082886|22</stp>
        <stp>BONYAN AB Equity</stp>
        <stp>CHG_PCT_YTD_RT</stp>
        <tr r="F114" s="2"/>
      </tp>
      <tp>
        <v>16.41</v>
        <stp/>
        <stp>BDP|5945732038709656159|22</stp>
        <stp>MEDGULF AB Equity</stp>
        <stp>YEST_LAST_TRADE</stp>
        <tr r="G171" s="2"/>
      </tp>
      <tp>
        <v>24.43</v>
        <stp/>
        <stp>BDP|7874676799223576271|22</stp>
        <stp>ALINMA AB Equity</stp>
        <stp>BID</stp>
        <tr r="Q4" s="2"/>
      </tp>
      <tp>
        <v>49.6</v>
        <stp/>
        <stp>BDP|3569476010319614185|22</stp>
        <stp>SSP AB Equity</stp>
        <stp>LOW</stp>
        <tr r="L193" s="2"/>
      </tp>
      <tp>
        <v>89.2</v>
        <stp/>
        <stp>BDP|8705777642345547111|22</stp>
        <stp>EAT AB Equity</stp>
        <stp>BID</stp>
        <tr r="Q277" s="2"/>
      </tp>
      <tp>
        <v>13.42</v>
        <stp/>
        <stp>BDP|8466923437168280347|22</stp>
        <stp>SIIG AB Equity</stp>
        <stp>YEST_LAST_TRADE</stp>
        <tr r="G227" s="2"/>
      </tp>
      <tp>
        <v>-9.0077999999999996</v>
        <stp/>
        <stp>BDP|15726367260850788937|22</stp>
        <stp>ACIG AB Equity</stp>
        <stp>CHG_PCT_YTD_RT</stp>
        <tr r="F170" s="2"/>
      </tp>
      <tp>
        <v>-11.279400000000001</v>
        <stp/>
        <stp>BDP|15171536322722645035|22</stp>
        <stp>ZIIC AB Equity</stp>
        <stp>CHG_PCT_YTD_RT</stp>
        <tr r="F221" s="2"/>
      </tp>
      <tp>
        <v>15.4</v>
        <stp/>
        <stp>BDP|860583338401646301|22</stp>
        <stp>RAYDAN AB Equity</stp>
        <stp>HIGH</stp>
        <tr r="M73" s="2"/>
      </tp>
      <tp>
        <v>29.4</v>
        <stp/>
        <stp>BDP|8418540329538813580|22</stp>
        <stp>EQUIPMEN AB Equity</stp>
        <stp>ASK</stp>
        <tr r="R151" s="2"/>
      </tp>
      <tp>
        <v>0.10570000112056732</v>
        <stp/>
        <stp>BDP|16623065102535228465|22</stp>
        <stp>SVCP AB Equity</stp>
        <stp>RT_PX_CHG_PCT_1D</stp>
        <tr r="D202" s="2"/>
      </tp>
      <tp>
        <v>19.284300000000002</v>
        <stp/>
        <stp>BDP|1484121251949939013|22</stp>
        <stp>MASAR AB Equity</stp>
        <stp>CHG_PCT_1M_RT</stp>
        <tr r="E253" s="2"/>
      </tp>
      <tp>
        <v>24</v>
        <stp/>
        <stp>BDP|8986904440729653721|22</stp>
        <stp>APPC AB Equity</stp>
        <stp>YEST_LAST_TRADE</stp>
        <tr r="G233" s="2"/>
      </tp>
      <tp>
        <v>-14.1927</v>
        <stp/>
        <stp>BDP|866976128144843320|22</stp>
        <stp>2P AB Equity</stp>
        <stp>CHG_PCT_YTD_RT</stp>
        <tr r="F267" s="2"/>
      </tp>
      <tp>
        <v>-2.0325000000000002</v>
        <stp/>
        <stp>BDP|4969897549716516915|22</stp>
        <stp>ALINMARE AB Equity</stp>
        <stp>CHG_PCT_1M_RT</stp>
        <tr r="E96" s="2"/>
      </tp>
      <tp>
        <v>13.47</v>
        <stp/>
        <stp>BDP|16742588997816150739|22</stp>
        <stp>JAHEZ AB Equity</stp>
        <stp>YEST_LAST_TRADE</stp>
        <tr r="G62" s="2"/>
      </tp>
      <tp>
        <v>25.226299999999998</v>
        <stp/>
        <stp>BDP|2327968053887638170|22</stp>
        <stp>YACCO AB Equity</stp>
        <stp>VWAP</stp>
        <tr r="N222" s="2"/>
      </tp>
      <tp>
        <v>19.243200000000002</v>
        <stp/>
        <stp>BDP|6955612895977595847|22</stp>
        <stp>SOCCO AB Equity</stp>
        <stp>VWAP</stp>
        <tr r="N200" s="2"/>
      </tp>
      <tp>
        <v>69.150000000000006</v>
        <stp/>
        <stp>BDP|13530513155767052125|22</stp>
        <stp>RAOOM AB Equity</stp>
        <stp>YEST_LAST_TRADE</stp>
        <tr r="G19" s="2"/>
      </tp>
      <tp>
        <v>40.314900000000002</v>
        <stp/>
        <stp>BDP|7966190036714454942|22</stp>
        <stp>BAWAN AB Equity</stp>
        <stp>VWAP</stp>
        <tr r="N22" s="2"/>
      </tp>
      <tp>
        <v>8.3190000000000008</v>
        <stp/>
        <stp>BDP|11421607075747989529|22</stp>
        <stp>YACCO AB Equity</stp>
        <stp>CHG_PCT_YTD_RT</stp>
        <tr r="F222" s="2"/>
      </tp>
      <tp>
        <v>301685</v>
        <stp/>
        <stp>BDP|11647341094604325120|22</stp>
        <stp>SISCO AB Equity</stp>
        <stp>VOLUME</stp>
        <tr r="J284" s="2"/>
      </tp>
      <tp>
        <v>11.601900000000001</v>
        <stp/>
        <stp>BDP|12670860414380914139|22</stp>
        <stp>SVCP AB Equity</stp>
        <stp>CHG_PCT_1M_RT</stp>
        <tr r="E202" s="2"/>
      </tp>
      <tp>
        <v>-13.2159</v>
        <stp/>
        <stp>BDP|16810332732423051061|22</stp>
        <stp>TACCO AB Equity</stp>
        <stp>CHG_PCT_YTD_RT</stp>
        <tr r="F212" s="2"/>
      </tp>
      <tp>
        <v>25.866900000000001</v>
        <stp/>
        <stp>BDP|4002660628958220623|22</stp>
        <stp>SAUDIRE AB Equity</stp>
        <stp>VWAP</stp>
        <tr r="N167" s="2"/>
      </tp>
      <tp>
        <v>125.1</v>
        <stp/>
        <stp>BDP|6229416188641051789|22</stp>
        <stp>LUBEREF AB Equity</stp>
        <stp>OPEN</stp>
        <tr r="K235" s="2"/>
      </tp>
      <tp>
        <v>9.82</v>
        <stp/>
        <stp>BDP|11359972434761124319|22</stp>
        <stp>MALATH AB Equity</stp>
        <stp>YEST_LAST_TRADE</stp>
        <tr r="G182" s="2"/>
      </tp>
      <tp>
        <v>11.8565</v>
        <stp/>
        <stp>BDP|1364853791213322280|22</stp>
        <stp>ALLIANZ AB Equity</stp>
        <stp>VWAP</stp>
        <tr r="N175" s="2"/>
      </tp>
      <tp>
        <v>24.31</v>
        <stp/>
        <stp>BDP|16113740502144581138|22</stp>
        <stp>REDSEA AB Equity</stp>
        <stp>YEST_LAST_TRADE</stp>
        <tr r="G252" s="2"/>
      </tp>
      <tp>
        <v>0.34419998526573181</v>
        <stp/>
        <stp>BDP|7003464682426883468|22</stp>
        <stp>NAJRAN AB Equity</stp>
        <stp>RT_PX_CHG_PCT_1D</stp>
        <tr r="D211" s="2"/>
      </tp>
      <tp>
        <v>2175000</v>
        <stp/>
        <stp>BDP|5190460858647734687|22</stp>
        <stp>NASEEJ AB Equity</stp>
        <stp>VOLUME</stp>
        <tr r="J55" s="2"/>
      </tp>
      <tp>
        <v>6.71</v>
        <stp/>
        <stp>BDP|10722911764584359037|22</stp>
        <stp>NORTHCEM AB Equity</stp>
        <stp>OPEN</stp>
        <tr r="K230" s="2"/>
      </tp>
      <tp>
        <v>-1.2378000020980835</v>
        <stp/>
        <stp>BDP|16735425591522916861|22</stp>
        <stp>SACCO AB Equity</stp>
        <stp>RT_PX_CHG_PCT_1D</stp>
        <tr r="D229" s="2"/>
      </tp>
      <tp>
        <v>4.0777997970581055</v>
        <stp/>
        <stp>BDP|16436197569743666310|22</stp>
        <stp>JADCO AB Equity</stp>
        <stp>RT_PX_CHG_PCT_1D</stp>
        <tr r="D145" s="2"/>
      </tp>
      <tp>
        <v>-0.69620000000000004</v>
        <stp/>
        <stp>BDP|5005189534992388768|22</stp>
        <stp>ALAMAR AB Equity</stp>
        <stp>CHG_PCT_YTD_RT</stp>
        <tr r="F77" s="2"/>
      </tp>
      <tp>
        <v>10.06</v>
        <stp/>
        <stp>BDP|4896247505282338312|22</stp>
        <stp>SALAMA AB Equity</stp>
        <stp>BID</stp>
        <tr r="Q172" s="2"/>
      </tp>
      <tp>
        <v>5.8</v>
        <stp/>
        <stp>BDP|3159499821291841266|22</stp>
        <stp>NAJRAN AB Equity</stp>
        <stp>LOW</stp>
        <tr r="L211" s="2"/>
      </tp>
      <tp>
        <v>17.670000000000002</v>
        <stp/>
        <stp>BDP|1593912133906711620|22</stp>
        <stp>GAS AB Equity</stp>
        <stp>BID</stp>
        <tr r="Q30" s="2"/>
      </tp>
      <tp>
        <v>59.55</v>
        <stp/>
        <stp>BDP|4897906325861796626|22</stp>
        <stp>AVALONPH AB Equity</stp>
        <stp>LOW</stp>
        <tr r="L247" s="2"/>
      </tp>
      <tp>
        <v>896584</v>
        <stp/>
        <stp>BDP|17265200221612659193|22</stp>
        <stp>SAAC AB Equity</stp>
        <stp>VOLUME</stp>
        <tr r="J17" s="2"/>
      </tp>
      <tp>
        <v>3530299</v>
        <stp/>
        <stp>BDP|16864641903708674478|22</stp>
        <stp>APCO AB Equity</stp>
        <stp>VOLUME</stp>
        <tr r="J192" s="2"/>
      </tp>
      <tp>
        <v>38.477800000000002</v>
        <stp/>
        <stp>BDP|11432232913959947012|22</stp>
        <stp>APCO AB Equity</stp>
        <stp>CHG_PCT_YTD_RT</stp>
        <tr r="F192" s="2"/>
      </tp>
      <tp>
        <v>7.14</v>
        <stp/>
        <stp>BDP|2025775512908228990|22</stp>
        <stp>ALMAJDIA AB Equity</stp>
        <stp>LOW</stp>
        <tr r="L261" s="2"/>
      </tp>
      <tp>
        <v>3513971</v>
        <stp/>
        <stp>BDP|14973404001318303547|22</stp>
        <stp>ALBI AB Equity</stp>
        <stp>VOLUME</stp>
        <tr r="J5" s="2"/>
      </tp>
      <tp>
        <v>-4.1223000000000001</v>
        <stp/>
        <stp>BDP|5247761679113158748|22</stp>
        <stp>ALMAJDIA AB Equity</stp>
        <stp>CHG_PCT_1M_RT</stp>
        <tr r="E261" s="2"/>
      </tp>
      <tp>
        <v>54.1</v>
        <stp/>
        <stp>BDP|9610632958245074440|22</stp>
        <stp>NAQI AB Equity</stp>
        <stp>YEST_LAST_TRADE</stp>
        <tr r="G136" s="2"/>
      </tp>
      <tp>
        <v>8.6089000000000002</v>
        <stp/>
        <stp>BDP|8344676829560968320|22</stp>
        <stp>BUILDSTA AB Equity</stp>
        <stp>CHG_PCT_1M_RT</stp>
        <tr r="E44" s="2"/>
      </tp>
      <tp>
        <v>212</v>
        <stp/>
        <stp>BDP|13495637103992600460|22</stp>
        <stp>SULAIMAN AB Equity</stp>
        <stp>LAST_PRICE</stp>
        <tr r="C153" s="2"/>
        <tr r="B153" s="2"/>
      </tp>
      <tp>
        <v>21.14</v>
        <stp/>
        <stp>BDP|8840834196728999863|22</stp>
        <stp>ARNB AB Equity</stp>
        <stp>YEST_LAST_TRADE</stp>
        <tr r="G8" s="2"/>
      </tp>
      <tp>
        <v>7.21</v>
        <stp/>
        <stp>BDP|3982115372076395005|22</stp>
        <stp>ALMAJDIA AB Equity</stp>
        <stp>ASK</stp>
        <tr r="R261" s="2"/>
      </tp>
      <tp>
        <v>-10.075799999999999</v>
        <stp/>
        <stp>BDP|16166180288380787041|22</stp>
        <stp>APPC AB Equity</stp>
        <stp>CHG_PCT_1M_RT</stp>
        <tr r="E233" s="2"/>
      </tp>
      <tp>
        <v>-19.880700000000001</v>
        <stp/>
        <stp>BDP|16363476982535557862|22</stp>
        <stp>BAWAN AB Equity</stp>
        <stp>CHG_PCT_YTD_RT</stp>
        <tr r="F22" s="2"/>
      </tp>
      <tp>
        <v>33.418999999999997</v>
        <stp/>
        <stp>BDP|18113675885327917426|22</stp>
        <stp>ARCCI AB Equity</stp>
        <stp>CHG_PCT_YTD_RT</stp>
        <tr r="F166" s="2"/>
      </tp>
      <tp>
        <v>-1.8366999626159668</v>
        <stp/>
        <stp>BDP|2970867464948103015|22</stp>
        <stp>EIC AB Equity</stp>
        <stp>RT_PX_CHG_PCT_1D</stp>
        <tr r="AB3" s="2"/>
        <tr r="D16" s="2"/>
      </tp>
      <tp>
        <v>18.02</v>
        <stp/>
        <stp>BDP|15487311571559881504|22</stp>
        <stp>MASAR AB Equity</stp>
        <stp>YEST_LAST_TRADE</stp>
        <tr r="G253" s="2"/>
      </tp>
      <tp>
        <v>15.2</v>
        <stp/>
        <stp>BDP|16835634369261501405|22</stp>
        <stp>JOMAR AB Equity</stp>
        <stp>YEST_LAST_TRADE</stp>
        <tr r="G66" s="2"/>
      </tp>
      <tp>
        <v>1.8404999971389771</v>
        <stp/>
        <stp>BDP|2360808043591203687|22</stp>
        <stp>CGS AB Equity</stp>
        <stp>RT_PX_CHG_PCT_1D</stp>
        <tr r="D31" s="2"/>
      </tp>
      <tp>
        <v>23.3432</v>
        <stp/>
        <stp>BDP|4180382657075112513|22</stp>
        <stp>THEEB AB Equity</stp>
        <stp>VWAP</stp>
        <tr r="N286" s="2"/>
      </tp>
      <tp>
        <v>1.9709000587463379</v>
        <stp/>
        <stp>BDP|5051729926388375574|22</stp>
        <stp>SCH AB Equity</stp>
        <stp>RT_PX_CHG_PCT_1D</stp>
        <tr r="D47" s="2"/>
      </tp>
      <tp>
        <v>0.10360000282526016</v>
        <stp/>
        <stp>BDP|8782715773593422266|22</stp>
        <stp>SNB AB Equity</stp>
        <stp>RT_PX_CHG_PCT_1D</stp>
        <tr r="D13" s="2"/>
      </tp>
      <tp>
        <v>6.5880000000000001</v>
        <stp/>
        <stp>BDP|14382958577561031836|22</stp>
        <stp>SARCO AB Equity</stp>
        <stp>CHG_PCT_YTD_RT</stp>
        <tr r="F93" s="2"/>
      </tp>
      <tp>
        <v>545650</v>
        <stp/>
        <stp>BDP|10743810363677166146|22</stp>
        <stp>SFICO AB Equity</stp>
        <stp>VOLUME</stp>
        <tr r="J130" s="2"/>
      </tp>
      <tp>
        <v>0</v>
        <stp/>
        <stp>BDP|1782316407980815841|22</stp>
        <stp>MULKIA AB Equity</stp>
        <stp>RT_PX_CHG_PCT_1D</stp>
        <tr r="D100" s="2"/>
      </tp>
      <tp>
        <v>-2.1791999999999998</v>
        <stp/>
        <stp>BDP|15110420071350190425|22</stp>
        <stp>BCI AB Equity</stp>
        <stp>CHG_PCT_1M_RT</stp>
        <tr r="E201" s="2"/>
      </tp>
      <tp>
        <v>28.361899999999999</v>
        <stp/>
        <stp>BDP|1848173108113905426|22</stp>
        <stp>SPIMACO AB Equity</stp>
        <stp>VWAP</stp>
        <tr r="N246" s="2"/>
      </tp>
      <tp>
        <v>5.05</v>
        <stp/>
        <stp>BDP|430326563610006003|22</stp>
        <stp>MAHARAH AB Equity</stp>
        <stp>ASK</stp>
        <tr r="R34" s="2"/>
      </tp>
      <tp>
        <v>-4.0476000000000001</v>
        <stp/>
        <stp>BDP|10257845815944869687|22</stp>
        <stp>EEC AB Equity</stp>
        <stp>CHG_PCT_1M_RT</stp>
        <tr r="E274" s="2"/>
      </tp>
      <tp>
        <v>214.9</v>
        <stp/>
        <stp>BDP|592085138646282542|22</stp>
        <stp>SADAFCO AB Equity</stp>
        <stp>LOW</stp>
        <tr r="L134" s="2"/>
      </tp>
      <tp>
        <v>14.63</v>
        <stp/>
        <stp>BDP|9416792143777406506|22</stp>
        <stp>MIAHONA AB Equity</stp>
        <stp>OPEN</stp>
        <tr r="K292" s="2"/>
      </tp>
      <tp>
        <v>204.8032</v>
        <stp/>
        <stp>BDP|18356964007437056341|22</stp>
        <stp>SOLUTION AB Equity</stp>
        <stp>VWAP</stp>
        <tr r="N270" s="2"/>
      </tp>
      <tp>
        <v>-12.51</v>
        <stp/>
        <stp>BDP|6505022931805639279|22</stp>
        <stp>DALLAH AB Equity</stp>
        <stp>CHG_PCT_YTD_RT</stp>
        <tr r="F160" s="2"/>
      </tp>
      <tp>
        <v>3.1814999580383301</v>
        <stp/>
        <stp>BDP|12891200112722407393|22</stp>
        <stp>RAOOM AB Equity</stp>
        <stp>RT_PX_CHG_PCT_1D</stp>
        <tr r="D19" s="2"/>
      </tp>
      <tp>
        <v>60.794600000000003</v>
        <stp/>
        <stp>BDP|10928600547838334111|22</stp>
        <stp>AVALONPH AB Equity</stp>
        <stp>VWAP</stp>
        <tr r="N247" s="2"/>
      </tp>
      <tp>
        <v>6.1704001426696777</v>
        <stp/>
        <stp>BDP|10040042529833390151|22</stp>
        <stp>SARCO AB Equity</stp>
        <stp>RT_PX_CHG_PCT_1D</stp>
        <tr r="D93" s="2"/>
      </tp>
      <tp>
        <v>30.2</v>
        <stp/>
        <stp>BDP|7701962237272741895|22</stp>
        <stp>BUDGET AB Equity</stp>
        <stp>BID</stp>
        <tr r="Q285" s="2"/>
      </tp>
      <tp>
        <v>61.8</v>
        <stp/>
        <stp>BDP|16777252980006571882|22</stp>
        <stp>ALMUNAJE AB Equity</stp>
        <stp>LAST_PRICE</stp>
        <tr r="C87" s="2"/>
        <tr r="B87" s="2"/>
      </tp>
      <tp>
        <v>-5.7222</v>
        <stp/>
        <stp>BDP|9764453920176086796|22</stp>
        <stp>SOLUTION AB Equity</stp>
        <stp>CHG_PCT_1M_RT</stp>
        <tr r="E270" s="2"/>
      </tp>
      <tp>
        <v>2.5878999999999999</v>
        <stp/>
        <stp>BDP|3035070617727926540|22</stp>
        <stp>RASAN AB Equity</stp>
        <stp>CHG_PCT_1M_RT</stp>
        <tr r="E189" s="2"/>
      </tp>
      <tp>
        <v>57496</v>
        <stp/>
        <stp>BDP|15441004583892342610|22</stp>
        <stp>NGIC AB Equity</stp>
        <stp>VOLUME</stp>
        <tr r="J293" s="2"/>
      </tp>
      <tp>
        <v>325798</v>
        <stp/>
        <stp>BDP|11236192033528568024|22</stp>
        <stp>ALCO AB Equity</stp>
        <stp>VOLUME</stp>
        <tr r="J237" s="2"/>
      </tp>
      <tp>
        <v>-3.0459999999999998</v>
        <stp/>
        <stp>BDP|7095432824722363399|22</stp>
        <stp>SISCO AB Equity</stp>
        <stp>CHG_PCT_1M_RT</stp>
        <tr r="E284" s="2"/>
      </tp>
      <tp>
        <v>132.30000000000001</v>
        <stp/>
        <stp>BDP|15290152786970125106|22</stp>
        <stp>TADAWULG AB Equity</stp>
        <stp>LAST_PRICE</stp>
        <tr r="B120" s="2"/>
        <tr r="C120" s="2"/>
      </tp>
      <tp>
        <v>5.73</v>
        <stp/>
        <stp>BDP|6448367245785781081|22</stp>
        <stp>ALKHABEE AB Equity</stp>
        <stp>ASK</stp>
        <tr r="R110" s="2"/>
      </tp>
      <tp>
        <v>4.1256000000000004</v>
        <stp/>
        <stp>BDP|10810875201429992182|22</stp>
        <stp>BJAZ AB Equity</stp>
        <stp>CHG_PCT_YTD_RT</stp>
        <tr r="F6" s="2"/>
      </tp>
      <tp>
        <v>177.7</v>
        <stp/>
        <stp>BDP|8785293148729405483|22</stp>
        <stp>BUPA AB Equity</stp>
        <stp>YEST_LAST_TRADE</stp>
        <tr r="G188" s="2"/>
      </tp>
      <tp>
        <v>63.75</v>
        <stp/>
        <stp>BDP|9618448628081397673|22</stp>
        <stp>MOUWASAT AB Equity</stp>
        <stp>ASK</stp>
        <tr r="R156" s="2"/>
      </tp>
      <tp>
        <v>10.17</v>
        <stp/>
        <stp>BDP|15995014936662244828|22</stp>
        <stp>WALAA AB Equity</stp>
        <stp>YEST_LAST_TRADE</stp>
        <tr r="G169" s="2"/>
      </tp>
      <tp>
        <v>42.18</v>
        <stp/>
        <stp>BDP|4554865305565663471|22</stp>
        <stp>JADCO AB Equity</stp>
        <stp>OPEN</stp>
        <tr r="K145" s="2"/>
      </tp>
      <tp>
        <v>835003</v>
        <stp/>
        <stp>BDP|14705222314478108013|22</stp>
        <stp>NADEC AB Equity</stp>
        <stp>VOLUME</stp>
        <tr r="J140" s="2"/>
      </tp>
      <tp>
        <v>6.61</v>
        <stp/>
        <stp>BDP|8691639923003556207|22</stp>
        <stp>2P AB Equity</stp>
        <stp>HIGH</stp>
        <tr r="M267" s="2"/>
      </tp>
      <tp>
        <v>13.04</v>
        <stp/>
        <stp>BDP|12566815292263423732|22</stp>
        <stp>WATAN AB Equity</stp>
        <stp>YEST_LAST_TRADE</stp>
        <tr r="G165" s="2"/>
      </tp>
      <tp>
        <v>155.5</v>
        <stp/>
        <stp>BDP|12784719417254251595|22</stp>
        <stp>RASAN AB Equity</stp>
        <stp>YEST_LAST_TRADE</stp>
        <tr r="G189" s="2"/>
      </tp>
      <tp>
        <v>15.62</v>
        <stp/>
        <stp>BDP|13063958795339893283|22</stp>
        <stp>SRECO AB Equity</stp>
        <stp>YEST_LAST_TRADE</stp>
        <tr r="G254" s="2"/>
      </tp>
      <tp>
        <v>-0.9244999885559082</v>
        <stp/>
        <stp>BDP|7148286437490079092|22</stp>
        <stp>ALAHLI AB Equity</stp>
        <stp>RT_PX_CHG_PCT_1D</stp>
        <tr r="D107" s="2"/>
      </tp>
      <tp>
        <v>12.11</v>
        <stp/>
        <stp>BDP|63207208957902742|22</stp>
        <stp>RETAL AB Equity</stp>
        <stp>HIGH</stp>
        <tr r="M250" s="2"/>
      </tp>
      <tp>
        <v>-1.6667000000000001</v>
        <stp/>
        <stp>BDP|11458080086258600936|22</stp>
        <stp>MEH AB Equity</stp>
        <stp>CHG_PCT_1M_RT</stp>
        <tr r="E152" s="2"/>
      </tp>
      <tp>
        <v>5.29</v>
        <stp/>
        <stp>BDP|4889854745053002400|22</stp>
        <stp>MAHARAH AB Equity</stp>
        <stp>OPEN</stp>
        <tr r="K34" s="2"/>
      </tp>
      <tp>
        <v>-4.8</v>
        <stp/>
        <stp>BDP|13442253355733377954|22</stp>
        <stp>EAT AB Equity</stp>
        <stp>CHG_PCT_1M_RT</stp>
        <tr r="E277" s="2"/>
      </tp>
      <tp>
        <v>15.0097</v>
        <stp/>
        <stp>BDP|9166127800406353462|22</stp>
        <stp>MIAHONA AB Equity</stp>
        <stp>VWAP</stp>
        <tr r="N292" s="2"/>
      </tp>
      <tp>
        <v>37.867199999999997</v>
        <stp/>
        <stp>BDP|1083467368500081579|22</stp>
        <stp>MARAFIQ AB Equity</stp>
        <stp>VWAP</stp>
        <tr r="N288" s="2"/>
      </tp>
      <tp>
        <v>24.44</v>
        <stp/>
        <stp>BDP|7649479685405449127|22</stp>
        <stp>ALINMA AB Equity</stp>
        <stp>ASK</stp>
        <tr r="R4" s="2"/>
      </tp>
      <tp>
        <v>28.54</v>
        <stp/>
        <stp>BDP|5912108213002128645|22</stp>
        <stp>SAVOLA AB Equity</stp>
        <stp>BID</stp>
        <tr r="Q143" s="2"/>
      </tp>
      <tp>
        <v>-1.5075000524520874</v>
        <stp/>
        <stp>BDP|13600030223540041202|22</stp>
        <stp>SEDCO AB Equity</stp>
        <stp>RT_PX_CHG_PCT_1D</stp>
        <tr r="D99" s="2"/>
      </tp>
      <tp>
        <v>76</v>
        <stp/>
        <stp>BDP|13974244317385943644|22</stp>
        <stp>CATERING AB Equity</stp>
        <stp>HIGH</stp>
        <tr r="M37" s="2"/>
      </tp>
      <tp>
        <v>10.14</v>
        <stp/>
        <stp>BDP|7481667242724965311|22</stp>
        <stp>SALAMA AB Equity</stp>
        <stp>ASK</stp>
        <tr r="R172" s="2"/>
      </tp>
      <tp>
        <v>0.17759999632835388</v>
        <stp/>
        <stp>BDP|12979848247466448745|22</stp>
        <stp>CITYC AB Equity</stp>
        <stp>RT_PX_CHG_PCT_1D</stp>
        <tr r="D223" s="2"/>
      </tp>
      <tp>
        <v>47.8</v>
        <stp/>
        <stp>BDP|10517664768551469076|22</stp>
        <stp>ARABIANM AB Equity</stp>
        <stp>OPEN</stp>
        <tr r="K138" s="2"/>
      </tp>
      <tp>
        <v>10.9315</v>
        <stp/>
        <stp>BDP|18431628712794007143|22</stp>
        <stp>JADWAREI AB Equity</stp>
        <stp>VWAP</stp>
        <tr r="N105" s="2"/>
      </tp>
      <tp>
        <v>67.25</v>
        <stp/>
        <stp>BDP|13965017054056787695|22</stp>
        <stp>ALBABTAI AB Equity</stp>
        <stp>OPEN</stp>
        <tr r="K15" s="2"/>
      </tp>
      <tp>
        <v>202036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14.94</v>
        <stp/>
        <stp>BDP|7058245260846126612|22</stp>
        <stp>ALKHLEEJ AB Equity</stp>
        <stp>LOW</stp>
        <tr r="L64" s="2"/>
      </tp>
      <tp>
        <v>3563215</v>
        <stp/>
        <stp>BDP|12268510528696883596|22</stp>
        <stp>BJAZ AB Equity</stp>
        <stp>VOLUME</stp>
        <tr r="J6" s="2"/>
      </tp>
      <tp>
        <v>-0.2</v>
        <stp/>
        <stp>BDP|9069230481980506473|22</stp>
        <stp>CATERING AB Equity</stp>
        <stp>CHG_PCT_1M_RT</stp>
        <tr r="E37" s="2"/>
      </tp>
      <tp>
        <v>25.5</v>
        <stp/>
        <stp>BDP|10014132396994857578|22</stp>
        <stp>YACCO AB Equity</stp>
        <stp>YEST_LAST_TRADE</stp>
        <tr r="G222" s="2"/>
      </tp>
      <tp>
        <v>7.8643000000000001</v>
        <stp/>
        <stp>BDP|3623893916174862362|22</stp>
        <stp>TACCO AB Equity</stp>
        <stp>VWAP</stp>
        <tr r="N212" s="2"/>
      </tp>
      <tp>
        <v>23.23</v>
        <stp/>
        <stp>BDP|6169157065976911786|22</stp>
        <stp>ARCCO AB Equity</stp>
        <stp>HIGH</stp>
        <tr r="M231" s="2"/>
      </tp>
      <tp>
        <v>7.84</v>
        <stp/>
        <stp>BDP|18004671494114045786|22</stp>
        <stp>TACCO AB Equity</stp>
        <stp>YEST_LAST_TRADE</stp>
        <tr r="G212" s="2"/>
      </tp>
      <tp>
        <v>33.108699999999999</v>
        <stp/>
        <stp>BDP|15126135610182015291|22</stp>
        <stp>SFICO AB Equity</stp>
        <stp>CHG_PCT_YTD_RT</stp>
        <tr r="F130" s="2"/>
      </tp>
      <tp>
        <v>131.80000000000001</v>
        <stp/>
        <stp>BDP|5158141748122511336|22</stp>
        <stp>ASTRA AB Equity</stp>
        <stp>HIGH</stp>
        <tr r="M27" s="2"/>
      </tp>
      <tp>
        <v>0.89609998464584351</v>
        <stp/>
        <stp>BDP|4381625091276839326|22</stp>
        <stp>SPM AB Equity</stp>
        <stp>RT_PX_CHG_PCT_1D</stp>
        <tr r="D215" s="2"/>
      </tp>
      <tp>
        <v>29.48</v>
        <stp/>
        <stp>BDP|15111659914658181690|22</stp>
        <stp>NASEEJ AB Equity</stp>
        <stp>YEST_LAST_TRADE</stp>
        <tr r="G55" s="2"/>
      </tp>
      <tp>
        <v>-8.3832000000000004</v>
        <stp/>
        <stp>BDP|17491780573368642001|22</stp>
        <stp>AZM AB Equity</stp>
        <stp>CHG_PCT_1M_RT</stp>
        <tr r="E271" s="2"/>
      </tp>
      <tp>
        <v>9.9263999999999992</v>
        <stp/>
        <stp>BDP|6974444504268175364|22</stp>
        <stp>NAYIFAT AB Equity</stp>
        <stp>VWAP</stp>
        <tr r="N121" s="2"/>
      </tp>
      <tp>
        <v>118.9997</v>
        <stp/>
        <stp>BDP|3509010206033051681|22</stp>
        <stp>ALMOOSA AB Equity</stp>
        <stp>VWAP</stp>
        <tr r="N155" s="2"/>
      </tp>
      <tp>
        <v>5.0999999999999996</v>
        <stp/>
        <stp>BDP|17014889028237672633|22</stp>
        <stp>SICOSAUD AB Equity</stp>
        <stp>OPEN</stp>
        <tr r="K113" s="2"/>
      </tp>
      <tp>
        <v>2.0756000000000001</v>
        <stp/>
        <stp>BDP|10260584801912453954|22</stp>
        <stp>AMERICAN AB Equity</stp>
        <stp>VWAP</stp>
        <tr r="N68" s="2"/>
      </tp>
      <tp>
        <v>59.4</v>
        <stp/>
        <stp>BDP|1872613290380493200|22</stp>
        <stp>MAADEN AB Equity</stp>
        <stp>ASK</stp>
        <tr r="R210" s="2"/>
      </tp>
      <tp>
        <v>61.660699999999999</v>
        <stp/>
        <stp>BDP|14478814719973475844|22</stp>
        <stp>ALMUNAJE AB Equity</stp>
        <stp>VWAP</stp>
        <tr r="N87" s="2"/>
      </tp>
      <tp>
        <v>155.17089999999999</v>
        <stp/>
        <stp>BDP|13728004619590850786|22</stp>
        <stp>JAMJOOMP AB Equity</stp>
        <stp>VWAP</stp>
        <tr r="N248" s="2"/>
      </tp>
      <tp>
        <v>28.58</v>
        <stp/>
        <stp>BDP|9111046668669452854|22</stp>
        <stp>SAVOLA AB Equity</stp>
        <stp>LOW</stp>
        <tr r="L143" s="2"/>
      </tp>
      <tp>
        <v>4.22</v>
        <stp/>
        <stp>BDP|18440329652401058065|22</stp>
        <stp>FOURTHMI AB Equity</stp>
        <stp>HIGH</stp>
        <tr r="M132" s="2"/>
      </tp>
      <tp>
        <v>5.83</v>
        <stp/>
        <stp>BDP|8947806238158515431|22</stp>
        <stp>NAJRAN AB Equity</stp>
        <stp>BID</stp>
        <tr r="Q211" s="2"/>
      </tp>
      <tp>
        <v>25.08</v>
        <stp/>
        <stp>BDP|8647396200116594591|22</stp>
        <stp>UCIC AB Equity</stp>
        <stp>YEST_LAST_TRADE</stp>
        <tr r="G194" s="2"/>
      </tp>
      <tp>
        <v>13.9</v>
        <stp/>
        <stp>BDP|11359707855764320168|22</stp>
        <stp>ALANDALU AB Equity</stp>
        <stp>LAST_PRICE</stp>
        <tr r="B258" s="2"/>
        <tr r="C258" s="2"/>
      </tp>
      <tp>
        <v>1359453</v>
        <stp/>
        <stp>BDP|12796331994555819911|22</stp>
        <stp>AICC AB Equity</stp>
        <stp>VOLUME</stp>
        <tr r="J168" s="2"/>
      </tp>
      <tp>
        <v>27.02</v>
        <stp/>
        <stp>BDP|14780748301560411310|22</stp>
        <stp>ALHAMMAD AB Equity</stp>
        <stp>LAST_PRICE</stp>
        <tr r="B159" s="2"/>
        <tr r="C159" s="2"/>
      </tp>
      <tp>
        <v>44.86</v>
        <stp/>
        <stp>BDP|7782515055708146785|22</stp>
        <stp>BUILDSTA AB Equity</stp>
        <stp>ASK</stp>
        <tr r="R44" s="2"/>
      </tp>
      <tp>
        <v>0.21660000085830688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-1.2432000000000001</v>
        <stp/>
        <stp>BDP|96400856147505601|22</stp>
        <stp>UCIC AB Equity</stp>
        <stp>CHG_PCT_YTD_RT</stp>
        <tr r="F194" s="2"/>
      </tp>
      <tp>
        <v>6.7</v>
        <stp/>
        <stp>BDP|3703784726420758012|22</stp>
        <stp>APCO AB Equity</stp>
        <stp>YEST_LAST_TRADE</stp>
        <tr r="G192" s="2"/>
      </tp>
      <tp>
        <v>15.2</v>
        <stp/>
        <stp>BDP|15219239972031546660|22</stp>
        <stp>ALKHLEEJ AB Equity</stp>
        <stp>LAST_PRICE</stp>
        <tr r="B64" s="2"/>
        <tr r="C64" s="2"/>
      </tp>
      <tp>
        <v>18.010000000000002</v>
        <stp/>
        <stp>BDP|945443037871948686|22</stp>
        <stp>ALARKAN AB Equity</stp>
        <stp>LAST_PRICE</stp>
        <tr r="C255" s="2"/>
        <tr r="B255" s="2"/>
      </tp>
      <tp>
        <v>32.6</v>
        <stp/>
        <stp>BDP|17885058640633015957|22</stp>
        <stp>TALCO AB Equity</stp>
        <stp>YEST_LAST_TRADE</stp>
        <tr r="G208" s="2"/>
      </tp>
      <tp>
        <v>10.029999999999999</v>
        <stp/>
        <stp>BDP|1130866470549396058|22</stp>
        <stp>EMAAR AB Equity</stp>
        <stp>OPEN</stp>
        <tr r="K262" s="2"/>
      </tp>
      <tp>
        <v>51.05</v>
        <stp/>
        <stp>BDP|16065070079671390250|22</stp>
        <stp>SARCO AB Equity</stp>
        <stp>YEST_LAST_TRADE</stp>
        <tr r="G93" s="2"/>
      </tp>
      <tp>
        <v>193134</v>
        <stp/>
        <stp>BDP|12078768452584074568|22</stp>
        <stp>ARCCO AB Equity</stp>
        <stp>VOLUME</stp>
        <tr r="J231" s="2"/>
      </tp>
      <tp>
        <v>2.42</v>
        <stp/>
        <stp>BDP|3175255378935686179|22</stp>
        <stp>AHFCO AB Equity</stp>
        <stp>OPEN</stp>
        <tr r="K60" s="2"/>
      </tp>
      <tp>
        <v>17.951699999999999</v>
        <stp/>
        <stp>BDP|1137971843480188065|22</stp>
        <stp>MASAR AB Equity</stp>
        <stp>VWAP</stp>
        <tr r="N253" s="2"/>
      </tp>
      <tp>
        <v>155.38579999999999</v>
        <stp/>
        <stp>BDP|6630790964733492886|22</stp>
        <stp>RASAN AB Equity</stp>
        <stp>VWAP</stp>
        <tr r="N189" s="2"/>
      </tp>
      <tp>
        <v>8.7317999999999998</v>
        <stp/>
        <stp>BDP|14023750109122230467|22</stp>
        <stp>YNCCO AB Equity</stp>
        <stp>CHG_PCT_YTD_RT</stp>
        <tr r="F209" s="2"/>
      </tp>
      <tp>
        <v>22.92</v>
        <stp/>
        <stp>BDP|12153250286919550946|22</stp>
        <stp>SAWCEM AB Equity</stp>
        <stp>YEST_LAST_TRADE</stp>
        <tr r="G204" s="2"/>
      </tp>
      <tp>
        <v>84.7</v>
        <stp/>
        <stp>BDP|782139950717621717|22</stp>
        <stp>MCDCO AB Equity</stp>
        <stp>YEST_LAST_TRADE</stp>
        <tr r="G257" s="2"/>
      </tp>
      <tp>
        <v>16.809999999999999</v>
        <stp/>
        <stp>BDP|12043704896725860414|22</stp>
        <stp>SMCHEALT AB Equity</stp>
        <stp>HIGH</stp>
        <tr r="M150" s="2"/>
      </tp>
      <tp>
        <v>13.86</v>
        <stp/>
        <stp>BDP|4029297327310347552|22</stp>
        <stp>CENOMI AB Equity</stp>
        <stp>LOW</stp>
        <tr r="L49" s="2"/>
      </tp>
      <tp>
        <v>8.44</v>
        <stp/>
        <stp>BDP|1862396261970674271|22</stp>
        <stp>GIZACO AB Equity</stp>
        <stp>ASK</stp>
        <tr r="R133" s="2"/>
      </tp>
      <tp>
        <v>6.14</v>
        <stp/>
        <stp>BDP|3501991529972734537|22</stp>
        <stp>SMASCO AB Equity</stp>
        <stp>LOW</stp>
        <tr r="L35" s="2"/>
      </tp>
      <tp>
        <v>16.89</v>
        <stp/>
        <stp>BDP|6921909072901605653|22</stp>
        <stp>GAS AB Equity</stp>
        <stp>LOW</stp>
        <tr r="L30" s="2"/>
      </tp>
      <tp>
        <v>24.42</v>
        <stp/>
        <stp>BDP|1173149729620968241|22</stp>
        <stp>ALINMA AB Equity</stp>
        <stp>LOW</stp>
        <tr r="L4" s="2"/>
      </tp>
      <tp>
        <v>63.203000000000003</v>
        <stp/>
        <stp>BDP|11540513654792842035|22</stp>
        <stp>MOUWASAT AB Equity</stp>
        <stp>VWAP</stp>
        <tr r="N156" s="2"/>
      </tp>
      <tp>
        <v>72809</v>
        <stp/>
        <stp>BDP|16515624947189813787|22</stp>
        <stp>UCIC AB Equity</stp>
        <stp>VOLUME</stp>
        <tr r="J194" s="2"/>
      </tp>
      <tp>
        <v>-7.1856</v>
        <stp/>
        <stp>BDP|3885213914915623973|22</stp>
        <stp>BAWAN AB Equity</stp>
        <stp>CHG_PCT_1M_RT</stp>
        <tr r="E22" s="2"/>
      </tp>
      <tp>
        <v>8.26</v>
        <stp/>
        <stp>BDP|1368029451037067870|22</stp>
        <stp>ALINMAHO AB Equity</stp>
        <stp>LOW</stp>
        <tr r="L97" s="2"/>
      </tp>
      <tp>
        <v>2.67</v>
        <stp/>
        <stp>BDP|6353472208064708932|22</stp>
        <stp>ALWASAIL AB Equity</stp>
        <stp>LOW</stp>
        <tr r="L32" s="2"/>
      </tp>
      <tp>
        <v>-0.26179999113082886</v>
        <stp/>
        <stp>BDP|8051978751820587485|22</stp>
        <stp>ACE AB Equity</stp>
        <stp>RT_PX_CHG_PCT_1D</stp>
        <tr r="D177" s="2"/>
      </tp>
      <tp>
        <v>53.2</v>
        <stp/>
        <stp>BDP|2844697557840437330|22</stp>
        <stp>ARCCI AB Equity</stp>
        <stp>HIGH</stp>
        <tr r="M166" s="2"/>
      </tp>
      <tp>
        <v>118374</v>
        <stp/>
        <stp>BDP|15157139055235534449|22</stp>
        <stp>AMLAK AB Equity</stp>
        <stp>VOLUME</stp>
        <tr r="J122" s="2"/>
      </tp>
      <tp>
        <v>15.8636</v>
        <stp/>
        <stp>BDP|5438582765479236005|22</stp>
        <stp>NADEC AB Equity</stp>
        <stp>VWAP</stp>
        <tr r="N140" s="2"/>
      </tp>
      <tp>
        <v>1.0142</v>
        <stp/>
        <stp>BDP|11619429978827413860|22</stp>
        <stp>HERFY AB Equity</stp>
        <stp>CHG_PCT_YTD_RT</stp>
        <tr r="F69" s="2"/>
      </tp>
      <tp>
        <v>31.142399999999999</v>
        <stp/>
        <stp>BDP|13344410534130998522|22</stp>
        <stp>JARIR AB Equity</stp>
        <stp>CHG_PCT_YTD_RT</stp>
        <tr r="F51" s="2"/>
      </tp>
      <tp>
        <v>-6.7103000000000002</v>
        <stp/>
        <stp>BDP|18213089261966863245|22</stp>
        <stp>CMCER AB Equity</stp>
        <stp>CHG_PCT_YTD_RT</stp>
        <tr r="F161" s="2"/>
      </tp>
      <tp>
        <v>67353</v>
        <stp/>
        <stp>BDP|10523115788063686179|22</stp>
        <stp>QACCO AB Equity</stp>
        <stp>VOLUME</stp>
        <tr r="J225" s="2"/>
      </tp>
      <tp>
        <v>24.708500000000001</v>
        <stp/>
        <stp>BDP|5914430611039148956|22</stp>
        <stp>ENTAJ AB Equity</stp>
        <stp>VWAP</stp>
        <tr r="N129" s="2"/>
      </tp>
      <tp>
        <v>3361512</v>
        <stp/>
        <stp>BDP|17670639266847751907|22</stp>
        <stp>JOMAR AB Equity</stp>
        <stp>VOLUME</stp>
        <tr r="J66" s="2"/>
      </tp>
      <tp>
        <v>0.72710001468658447</v>
        <stp/>
        <stp>BDP|4561058467406979645|22</stp>
        <stp>SAL AB Equity</stp>
        <stp>RT_PX_CHG_PCT_1D</stp>
        <tr r="D282" s="2"/>
      </tp>
      <tp>
        <v>17.96</v>
        <stp/>
        <stp>BDP|8847239920546646642|22</stp>
        <stp>MASAR AB Equity</stp>
        <stp>OPEN</stp>
        <tr r="K253" s="2"/>
      </tp>
      <tp>
        <v>43.5</v>
        <stp/>
        <stp>BDP|6029008302705616973|22</stp>
        <stp>ALDAWAA AB Equity</stp>
        <stp>OPEN</stp>
        <tr r="K81" s="2"/>
      </tp>
      <tp>
        <v>0.16689999401569366</v>
        <stp/>
        <stp>BDP|2602096530544606358|22</stp>
        <stp>SHIELD AB Equity</stp>
        <stp>RT_PX_CHG_PCT_1D</stp>
        <tr r="D174" s="2"/>
      </tp>
      <tp>
        <v>5.1866998672485352</v>
        <stp/>
        <stp>BDP|1981415903138621349|22</stp>
        <stp>SALAMA AB Equity</stp>
        <stp>RT_PX_CHG_PCT_1D</stp>
        <tr r="D172" s="2"/>
      </tp>
      <tp>
        <v>8.2200000000000006</v>
        <stp/>
        <stp>BDP|14020551614987820443|22</stp>
        <stp>GIZACO AB Equity</stp>
        <stp>YEST_LAST_TRADE</stp>
        <tr r="G133" s="2"/>
      </tp>
      <tp>
        <v>31.88</v>
        <stp/>
        <stp>BDP|7548617888982997275|22</stp>
        <stp>NASEEJ AB Equity</stp>
        <stp>BID</stp>
        <tr r="Q55" s="2"/>
      </tp>
      <tp>
        <v>8.2858000000000001</v>
        <stp/>
        <stp>BDP|17523438896941353421|22</stp>
        <stp>ALINMAHO AB Equity</stp>
        <stp>VWAP</stp>
        <tr r="N97" s="2"/>
      </tp>
      <tp>
        <v>2.0634999999999999</v>
        <stp/>
        <stp>BDP|4029357018199809035|22</stp>
        <stp>ALAHLI AB Equity</stp>
        <stp>CHG_PCT_YTD_RT</stp>
        <tr r="F107" s="2"/>
      </tp>
      <tp>
        <v>7.6761999999999997</v>
        <stp/>
        <stp>BDP|15783027640908912894|22</stp>
        <stp>BURGERIZ AB Equity</stp>
        <stp>VWAP</stp>
        <tr r="N63" s="2"/>
      </tp>
      <tp>
        <v>14.98</v>
        <stp/>
        <stp>BDP|2127326367878090271|22</stp>
        <stp>RAYDAN AB Equity</stp>
        <stp>BID</stp>
        <tr r="Q73" s="2"/>
      </tp>
      <tp>
        <v>90.575299999999999</v>
        <stp/>
        <stp>BDP|11998645164937392553|22</stp>
        <stp>ARABIAND AB Equity</stp>
        <stp>VWAP</stp>
        <tr r="N91" s="2"/>
      </tp>
      <tp>
        <v>132.5</v>
        <stp/>
        <stp>BDP|17071308079008165149|22</stp>
        <stp>TADAWULG AB Equity</stp>
        <stp>OPEN</stp>
        <tr r="K120" s="2"/>
      </tp>
      <tp>
        <v>5.2</v>
        <stp/>
        <stp>BDP|283119410358067107|22</stp>
        <stp>KAYAN AB Equity</stp>
        <stp>LAST_PRICE</stp>
        <tr r="B198" s="2"/>
        <tr r="C198" s="2"/>
      </tp>
      <tp>
        <v>2.2799999999999998</v>
        <stp/>
        <stp>BDP|2521868945188532981|22</stp>
        <stp>ABDICO AB Equity</stp>
        <stp>BID</stp>
        <tr r="Q123" s="2"/>
      </tp>
      <tp>
        <v>1071084</v>
        <stp/>
        <stp>BDP|16790150753246307138|22</stp>
        <stp>ACIG AB Equity</stp>
        <stp>VOLUME</stp>
        <tr r="J170" s="2"/>
      </tp>
      <tp>
        <v>7.03</v>
        <stp/>
        <stp>BDP|1302905909226560011|22</stp>
        <stp>SPORTCLU AB Equity</stp>
        <stp>BID</stp>
        <tr r="Q67" s="2"/>
      </tp>
      <tp>
        <v>10.9</v>
        <stp/>
        <stp>BDP|14717759259103415926|22</stp>
        <stp>JADWAREI AB Equity</stp>
        <stp>LAST_PRICE</stp>
        <tr r="C105" s="2"/>
        <tr r="B105" s="2"/>
      </tp>
      <tp t="s">
        <v>#N/A N/A</v>
        <stp/>
        <stp>BDP|18158249406976415925|22</stp>
        <stp>NAMA AB Equity</stp>
        <stp>VOLUME</stp>
        <tr r="J226" s="2"/>
      </tp>
      <tp>
        <v>5.72</v>
        <stp/>
        <stp>BDP|1324883161716266814|22</stp>
        <stp>ALKHABEE AB Equity</stp>
        <stp>LOW</stp>
        <tr r="L110" s="2"/>
      </tp>
      <tp>
        <v>340654</v>
        <stp/>
        <stp>BDP|12246000362408321682|22</stp>
        <stp>ADCO AB Equity</stp>
        <stp>VOLUME</stp>
        <tr r="J260" s="2"/>
      </tp>
      <tp>
        <v>2.2086999999999999</v>
        <stp/>
        <stp>BDP|12140705550022909508|22</stp>
        <stp>SIBC AB Equity</stp>
        <stp>CHG_PCT_YTD_RT</stp>
        <tr r="F11" s="2"/>
      </tp>
      <tp>
        <v>64.2</v>
        <stp/>
        <stp>BDP|1975507688654421835|22</stp>
        <stp>ALBABTAI AB Equity</stp>
        <stp>LOW</stp>
        <tr r="L15" s="2"/>
      </tp>
      <tp>
        <v>71</v>
        <stp/>
        <stp>BDP|7033297689384506283|22</stp>
        <stp>RESEARCH AB Equity</stp>
        <stp>LOW</stp>
        <tr r="L242" s="2"/>
      </tp>
      <tp>
        <v>1.6282000000000001</v>
        <stp/>
        <stp>BDP|335247184713984858|22</stp>
        <stp>ALKATHIR AB Equity</stp>
        <stp>VWAP</stp>
        <tr r="N203" s="2"/>
      </tp>
      <tp>
        <v>210.1</v>
        <stp/>
        <stp>BDP|8860143203095976844|22</stp>
        <stp>SULAIMAN AB Equity</stp>
        <stp>LOW</stp>
        <tr r="L153" s="2"/>
      </tp>
      <tp>
        <v>9.9366000000000003</v>
        <stp/>
        <stp>BDP|16369126318389617445|22</stp>
        <stp>KAYAN AB Equity</stp>
        <stp>CHG_PCT_YTD_RT</stp>
        <tr r="F198" s="2"/>
      </tp>
      <tp>
        <v>0.65789997577667236</v>
        <stp/>
        <stp>BDP|8599354812576027243|22</stp>
        <stp>AZM AB Equity</stp>
        <stp>RT_PX_CHG_PCT_1D</stp>
        <tr r="D271" s="2"/>
      </tp>
      <tp>
        <v>-6.679999828338623E-2</v>
        <stp/>
        <stp>BDP|5851479492172826266|22</stp>
        <stp>SHL AB Equity</stp>
        <stp>RT_PX_CHG_PCT_1D</stp>
        <tr r="D118" s="2"/>
      </tp>
      <tp>
        <v>4.7119999999999997</v>
        <stp/>
        <stp>BDP|18242701575000633221|22</stp>
        <stp>MASAR AB Equity</stp>
        <stp>CHG_PCT_YTD_RT</stp>
        <tr r="F253" s="2"/>
      </tp>
      <tp>
        <v>57.224299999999999</v>
        <stp/>
        <stp>BDP|9484644150820065359|22</stp>
        <stp>TANMIAH AB Equity</stp>
        <stp>VWAP</stp>
        <tr r="N146" s="2"/>
      </tp>
      <tp>
        <v>22.074300000000001</v>
        <stp/>
        <stp>BDP|4260036368092818236|22</stp>
        <stp>DERAYAH AB Equity</stp>
        <stp>VWAP</stp>
        <tr r="N116" s="2"/>
      </tp>
      <tp>
        <v>3.5817999999999999</v>
        <stp/>
        <stp>BDP|9158847485679409870|22</stp>
        <stp>ARABSEA AB Equity</stp>
        <stp>VWAP</stp>
        <tr r="N272" s="2"/>
      </tp>
      <tp>
        <v>10.1</v>
        <stp/>
        <stp>BDP|13591682986504127266|22</stp>
        <stp>BONYAN AB Equity</stp>
        <stp>YEST_LAST_TRADE</stp>
        <tr r="G114" s="2"/>
      </tp>
      <tp>
        <v>119.4</v>
        <stp/>
        <stp>BDP|3605308796238028426|22</stp>
        <stp>ALMOOSA AB Equity</stp>
        <stp>OPEN</stp>
        <tr r="K155" s="2"/>
      </tp>
      <tp>
        <v>-8.9062000000000001</v>
        <stp/>
        <stp>BDP|5517288023527121086|22</stp>
        <stp>NAJRAN AB Equity</stp>
        <stp>CHG_PCT_YTD_RT</stp>
        <tr r="F211" s="2"/>
      </tp>
      <tp>
        <v>89.25</v>
        <stp/>
        <stp>BDP|6594609154789400697|22</stp>
        <stp>EAT AB Equity</stp>
        <stp>ASK</stp>
        <tr r="R277" s="2"/>
      </tp>
      <tp>
        <v>11.696199999999999</v>
        <stp/>
        <stp>BDP|15203246044970570030|22</stp>
        <stp>JAZTAKAF AB Equity</stp>
        <stp>VWAP</stp>
        <tr r="N178" s="2"/>
      </tp>
      <tp>
        <v>5.7232000000000003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2.8515000343322754</v>
        <stp/>
        <stp>BDP|12821687690332660494|22</stp>
        <stp>WALAA AB Equity</stp>
        <stp>RT_PX_CHG_PCT_1D</stp>
        <tr r="D169" s="2"/>
      </tp>
      <tp>
        <v>3.68</v>
        <stp/>
        <stp>BDP|3956313518420632615|22</stp>
        <stp>ALASEEL AB Equity</stp>
        <stp>YEST_LAST_TRADE</stp>
        <tr r="G59" s="2"/>
      </tp>
      <tp>
        <v>51.55</v>
        <stp/>
        <stp>BDP|133713366240964700|22</stp>
        <stp>SABIC AB Equity</stp>
        <stp>LAST_PRICE</stp>
        <tr r="B228" s="2"/>
        <tr r="C228" s="2"/>
      </tp>
      <tp>
        <v>23.89</v>
        <stp/>
        <stp>BDP|10303164237166484224|22</stp>
        <stp>ALMASARA AB Equity</stp>
        <stp>HIGH</stp>
        <tr r="M78" s="2"/>
      </tp>
      <tp>
        <v>7.2049000000000003</v>
        <stp/>
        <stp>BDP|12535438853091930576|22</stp>
        <stp>ALMAJDIA AB Equity</stp>
        <stp>VWAP</stp>
        <tr r="N261" s="2"/>
      </tp>
      <tp>
        <v>10.69</v>
        <stp/>
        <stp>BDP|8314925313972039800|22</stp>
        <stp>ZAINKSA AB Equity</stp>
        <stp>YEST_LAST_TRADE</stp>
        <tr r="G276" s="2"/>
      </tp>
      <tp>
        <v>310420</v>
        <stp/>
        <stp>BDP|9907061506187794001|22</stp>
        <stp>FLYNAS AB Equity</stp>
        <stp>VOLUME</stp>
        <tr r="J283" s="2"/>
      </tp>
      <tp>
        <v>16.75</v>
        <stp/>
        <stp>BDP|11341299113694349861|22</stp>
        <stp>SMCHEALT AB Equity</stp>
        <stp>LAST_PRICE</stp>
        <tr r="B150" s="2"/>
        <tr r="C150" s="2"/>
      </tp>
      <tp>
        <v>-20.098299999999998</v>
        <stp/>
        <stp>BDP|18263348586473482828|22</stp>
        <stp>ADCO AB Equity</stp>
        <stp>CHG_PCT_YTD_RT</stp>
        <tr r="F260" s="2"/>
      </tp>
      <tp>
        <v>5571691</v>
        <stp/>
        <stp>BDP|13357054910862032190|22</stp>
        <stp>RJHI AB Equity</stp>
        <stp>VOLUME</stp>
        <tr r="J12" s="2"/>
      </tp>
      <tp>
        <v>43.8</v>
        <stp/>
        <stp>BDP|7372278488530942475|22</stp>
        <stp>BUILDSTA AB Equity</stp>
        <stp>LOW</stp>
        <tr r="L44" s="2"/>
      </tp>
      <tp>
        <v>1354972</v>
        <stp/>
        <stp>BDP|15789772464867988730|22</stp>
        <stp>SAIC AB Equity</stp>
        <stp>VOLUME</stp>
        <tr r="J117" s="2"/>
      </tp>
      <tp>
        <v>-1.4754</v>
        <stp/>
        <stp>BDP|3559217310649771023|22</stp>
        <stp>RETAL AB Equity</stp>
        <stp>CHG_PCT_1M_RT</stp>
        <tr r="E250" s="2"/>
      </tp>
      <tp>
        <v>-19.090900000000001</v>
        <stp/>
        <stp>BDP|14594277163380479219|22</stp>
        <stp>AMAK AB Equity</stp>
        <stp>CHG_PCT_YTD_RT</stp>
        <tr r="F196" s="2"/>
      </tp>
      <tp>
        <v>119.8</v>
        <stp/>
        <stp>BDP|4038106401544110409|22</stp>
        <stp>RIYADHCA AB Equity</stp>
        <stp>BID</stp>
        <tr r="Q23" s="2"/>
      </tp>
      <tp>
        <v>129.5</v>
        <stp/>
        <stp>BDP|5340322394911262789|22</stp>
        <stp>NCLE AB Equity</stp>
        <stp>YEST_LAST_TRADE</stp>
        <tr r="G65" s="2"/>
      </tp>
      <tp>
        <v>29.02</v>
        <stp/>
        <stp>BDP|7660071246377766313|22</stp>
        <stp>EQUIPMEN AB Equity</stp>
        <stp>LOW</stp>
        <tr r="L151" s="2"/>
      </tp>
      <tp>
        <v>7.05</v>
        <stp/>
        <stp>BDP|7151686885673491890|22</stp>
        <stp>SPORTCLU AB Equity</stp>
        <stp>ASK</stp>
        <tr r="R67" s="2"/>
      </tp>
      <tp>
        <v>48.02</v>
        <stp/>
        <stp>BDP|13174194720918001749|22</stp>
        <stp>ARABIANM AB Equity</stp>
        <stp>LAST_PRICE</stp>
        <tr r="B138" s="2"/>
        <tr r="C138" s="2"/>
      </tp>
      <tp>
        <v>243393</v>
        <stp/>
        <stp>BDP|17960179925107648392|22</stp>
        <stp>MCDCO AB Equity</stp>
        <stp>VOLUME</stp>
        <tr r="J257" s="2"/>
      </tp>
      <tp>
        <v>3.06</v>
        <stp/>
        <stp>BDP|2833659027224158362|22</stp>
        <stp>BANAN AB Equity</stp>
        <stp>VWAP</stp>
        <tr r="N256" s="2"/>
      </tp>
      <tp>
        <v>44.88</v>
        <stp/>
        <stp>BDP|7577073646243499647|22</stp>
        <stp>QACCO AB Equity</stp>
        <stp>OPEN</stp>
        <tr r="K225" s="2"/>
      </tp>
      <tp>
        <v>0.63290000000000002</v>
        <stp/>
        <stp>BDP|17909303035947246095|22</stp>
        <stp>BUPA AB Equity</stp>
        <stp>CHG_PCT_1M_RT</stp>
        <tr r="E188" s="2"/>
      </tp>
      <tp>
        <v>71.849999999999994</v>
        <stp/>
        <stp>BDP|10994241813452736416|22</stp>
        <stp>SFICO AB Equity</stp>
        <stp>YEST_LAST_TRADE</stp>
        <tr r="G130" s="2"/>
      </tp>
      <tp>
        <v>11.02</v>
        <stp/>
        <stp>BDP|9314139210614187483|22</stp>
        <stp>ENAYA AB Equity</stp>
        <stp>OPEN</stp>
        <tr r="K179" s="2"/>
      </tp>
      <tp>
        <v>30.7</v>
        <stp/>
        <stp>BDP|2427403503113595382|22</stp>
        <stp>SACCO AB Equity</stp>
        <stp>OPEN</stp>
        <tr r="K229" s="2"/>
      </tp>
      <tp>
        <v>0.89999997615814209</v>
        <stp/>
        <stp>BDP|1966008346854684028|22</stp>
        <stp>SSP AB Equity</stp>
        <stp>RT_PX_CHG_PCT_1D</stp>
        <tr r="D193" s="2"/>
      </tp>
      <tp>
        <v>497132</v>
        <stp/>
        <stp>BDP|13661227713661692680|22</stp>
        <stp>THEEB AB Equity</stp>
        <stp>VOLUME</stp>
        <tr r="J286" s="2"/>
      </tp>
      <tp>
        <v>-0.47939999999999999</v>
        <stp/>
        <stp>BDP|13638458604203999519|22</stp>
        <stp>ATAA AB Equity</stp>
        <stp>CHG_PCT_1M_RT</stp>
        <tr r="E75" s="2"/>
      </tp>
      <tp>
        <v>33.76</v>
        <stp/>
        <stp>BDP|2052848308441769511|22</stp>
        <stp>SISCO AB Equity</stp>
        <stp>OPEN</stp>
        <tr r="K284" s="2"/>
      </tp>
      <tp>
        <v>61860</v>
        <stp/>
        <stp>BDP|10531250657838251686|22</stp>
        <stp>TALCO AB Equity</stp>
        <stp>VOLUME</stp>
        <tr r="J208" s="2"/>
      </tp>
      <tp>
        <v>3.1531999111175537</v>
        <stp/>
        <stp>BDP|5222284060786255577|22</stp>
        <stp>ABDICO AB Equity</stp>
        <stp>RT_PX_CHG_PCT_1D</stp>
        <tr r="D123" s="2"/>
      </tp>
      <tp>
        <v>131.19999999999999</v>
        <stp/>
        <stp>BDP|470382039144750240|22</stp>
        <stp>ALMAJED AB Equity</stp>
        <stp>ASK</stp>
        <tr r="R163" s="2"/>
      </tp>
      <tp>
        <v>9.86</v>
        <stp/>
        <stp>BDP|8334669783255766437|22</stp>
        <stp>NAYIFAT AB Equity</stp>
        <stp>OPEN</stp>
        <tr r="K121" s="2"/>
      </tp>
      <tp>
        <v>6.65</v>
        <stp/>
        <stp>BDP|5381492173968758143|22</stp>
        <stp>CGS AB Equity</stp>
        <stp>ASK</stp>
        <tr r="R31" s="2"/>
      </tp>
      <tp>
        <v>8.26</v>
        <stp/>
        <stp>BDP|11770457702963014884|22</stp>
        <stp>ALINMAHO AB Equity</stp>
        <stp>OPEN</stp>
        <tr r="K97" s="2"/>
      </tp>
      <tp>
        <v>3336806</v>
        <stp/>
        <stp>BDP|4282057663886248994|22</stp>
        <stp>ALINMA AB Equity</stp>
        <stp>VOLUME</stp>
        <tr r="J4" s="2"/>
      </tp>
      <tp>
        <v>0.16670000553131104</v>
        <stp/>
        <stp>BDP|11572810068860701134|22</stp>
        <stp>RETAL AB Equity</stp>
        <stp>RT_PX_CHG_PCT_1D</stp>
        <tr r="D250" s="2"/>
      </tp>
      <tp>
        <v>9.86</v>
        <stp/>
        <stp>BDP|7490495565071679286|22</stp>
        <stp>NAYIFAT AB Equity</stp>
        <stp>YEST_LAST_TRADE</stp>
        <tr r="G121" s="2"/>
      </tp>
      <tp>
        <v>204.3</v>
        <stp/>
        <stp>BDP|17870642531665990251|22</stp>
        <stp>SOLUTION AB Equity</stp>
        <stp>LAST_PRICE</stp>
        <tr r="C270" s="2"/>
        <tr r="B270" s="2"/>
      </tp>
      <tp>
        <v>7.3269000000000002</v>
        <stp/>
        <stp>BDP|10635837347389804474|22</stp>
        <stp>SIIG AB Equity</stp>
        <stp>CHG_PCT_YTD_RT</stp>
        <tr r="F227" s="2"/>
      </tp>
      <tp>
        <v>-2.1861999999999999</v>
        <stp/>
        <stp>BDP|17387167603216767275|22</stp>
        <stp>RIBL AB Equity</stp>
        <stp>CHG_PCT_YTD_RT</stp>
        <tr r="F9" s="2"/>
      </tp>
      <tp>
        <v>924562</v>
        <stp/>
        <stp>BDP|18282402332179329619|22</stp>
        <stp>AADC AB Equity</stp>
        <stp>VOLUME</stp>
        <tr r="J128" s="2"/>
      </tp>
      <tp>
        <v>10.94</v>
        <stp/>
        <stp>BDP|9087514595860092787|22</stp>
        <stp>ALJAZIRA AB Equity</stp>
        <stp>ASK</stp>
        <tr r="R102" s="2"/>
      </tp>
      <tp>
        <v>8.8699999999999992</v>
        <stp/>
        <stp>BDP|16659060424029807141|22</stp>
        <stp>CHEMANOL AB Equity</stp>
        <stp>LAST_PRICE</stp>
        <tr r="C234" s="2"/>
        <tr r="B234" s="2"/>
      </tp>
      <tp>
        <v>4.1768000000000001</v>
        <stp/>
        <stp>BDP|8395721681737588197|22</stp>
        <stp>ABOMOATI AB Equity</stp>
        <stp>CHG_PCT_1M_RT</stp>
        <tr r="E43" s="2"/>
      </tp>
      <tp>
        <v>28.72</v>
        <stp/>
        <stp>BDP|1305170522792402452|22</stp>
        <stp>MODERNMI AB Equity</stp>
        <stp>BID</stp>
        <tr r="Q137" s="2"/>
      </tp>
      <tp>
        <v>6.7660999999999998</v>
        <stp/>
        <stp>BDP|11440826837132286823|22</stp>
        <stp>ADES AB Equity</stp>
        <stp>CHG_PCT_YTD_RT</stp>
        <tr r="F90" s="2"/>
      </tp>
      <tp>
        <v>21.797499999999999</v>
        <stp/>
        <stp>BDP|15195872625188050405|22</stp>
        <stp>SAGR AB Equity</stp>
        <stp>CHG_PCT_YTD_RT</stp>
        <tr r="F184" s="2"/>
      </tp>
      <tp>
        <v>0.16570000350475311</v>
        <stp/>
        <stp>BDP|2025329773321674488|22</stp>
        <stp>EEC AB Equity</stp>
        <stp>RT_PX_CHG_PCT_1D</stp>
        <tr r="D274" s="2"/>
      </tp>
      <tp>
        <v>10.44</v>
        <stp/>
        <stp>BDP|6970097745010117512|22</stp>
        <stp>SAICO AB Equity</stp>
        <stp>OPEN</stp>
        <tr r="K186" s="2"/>
      </tp>
      <tp>
        <v>200866</v>
        <stp/>
        <stp>BDP|17094810981204321240|22</stp>
        <stp>JADCO AB Equity</stp>
        <stp>VOLUME</stp>
        <tr r="J145" s="2"/>
      </tp>
      <tp>
        <v>30.4222</v>
        <stp/>
        <stp>BDP|5328515568333499516|22</stp>
        <stp>SACCO AB Equity</stp>
        <stp>VWAP</stp>
        <tr r="N229" s="2"/>
      </tp>
      <tp>
        <v>84.5</v>
        <stp/>
        <stp>BDP|6352168294062999952|22</stp>
        <stp>MCDCO AB Equity</stp>
        <stp>OPEN</stp>
        <tr r="K257" s="2"/>
      </tp>
      <tp>
        <v>19.785699999999999</v>
        <stp/>
        <stp>BDP|11605839566880490873|22</stp>
        <stp>SCACO AB Equity</stp>
        <stp>CHG_PCT_YTD_RT</stp>
        <tr r="F28" s="2"/>
      </tp>
      <tp>
        <v>17.014900000000001</v>
        <stp/>
        <stp>BDP|17169275531072213479|22</stp>
        <stp>SEDCO AB Equity</stp>
        <stp>CHG_PCT_YTD_RT</stp>
        <tr r="F99" s="2"/>
      </tp>
      <tp>
        <v>-2.5834000000000001</v>
        <stp/>
        <stp>BDP|14852211613325679440|22</stp>
        <stp>ARNB AB Equity</stp>
        <stp>CHG_PCT_1M_RT</stp>
        <tr r="E8" s="2"/>
      </tp>
      <tp>
        <v>2.3003999999999998</v>
        <stp/>
        <stp>BDP|10455150490061349928|22</stp>
        <stp>JOMAR AB Equity</stp>
        <stp>CHG_PCT_YTD_RT</stp>
        <tr r="F66" s="2"/>
      </tp>
      <tp>
        <v>-13.6541</v>
        <stp/>
        <stp>BDP|16559252979981815581|22</stp>
        <stp>CGS AB Equity</stp>
        <stp>CHG_PCT_1M_RT</stp>
        <tr r="E31" s="2"/>
      </tp>
      <tp>
        <v>16.41</v>
        <stp/>
        <stp>BDP|3398484897353185702|22</stp>
        <stp>MEDGULF AB Equity</stp>
        <stp>OPEN</stp>
        <tr r="K171" s="2"/>
      </tp>
      <tp>
        <v>0.60449999570846558</v>
        <stp/>
        <stp>BDP|8049919159098488557|22</stp>
        <stp>ALAMAR AB Equity</stp>
        <stp>RT_PX_CHG_PCT_1D</stp>
        <tr r="D77" s="2"/>
      </tp>
      <tp>
        <v>0</v>
        <stp/>
        <stp>BDP|4763810921035649551|22</stp>
        <stp>TALEEM AB Equity</stp>
        <stp>RT_PX_CHG_PCT_1D</stp>
        <tr r="D112" s="2"/>
      </tp>
      <tp>
        <v>-13.333299999999999</v>
        <stp/>
        <stp>BDP|17512175862352264795|22</stp>
        <stp>EIC AB Equity</stp>
        <stp>CHG_PCT_1M_RT</stp>
        <tr r="E16" s="2"/>
      </tp>
      <tp>
        <v>1.1363999843597412</v>
        <stp/>
        <stp>BDP|7987218530911037257|22</stp>
        <stp>SCERCO AB Equity</stp>
        <stp>RT_PX_CHG_PCT_1D</stp>
        <tr r="D20" s="2"/>
      </tp>
      <tp>
        <v>58.85</v>
        <stp/>
        <stp>BDP|10060131760250988019|22</stp>
        <stp>MAADEN AB Equity</stp>
        <stp>YEST_LAST_TRADE</stp>
        <tr r="G210" s="2"/>
      </tp>
      <tp>
        <v>14.004099999999999</v>
        <stp/>
        <stp>BDP|2513727205330977113|22</stp>
        <stp>NICEONE AB Equity</stp>
        <stp>VWAP</stp>
        <tr r="N42" s="2"/>
      </tp>
      <tp>
        <v>2.72</v>
        <stp/>
        <stp>BDP|12052313312769556015|22</stp>
        <stp>ALWASAIL AB Equity</stp>
        <stp>HIGH</stp>
        <tr r="M32" s="2"/>
      </tp>
      <tp>
        <v>204.7</v>
        <stp/>
        <stp>BDP|13479593431827892304|22</stp>
        <stp>SOLUTION AB Equity</stp>
        <stp>OPEN</stp>
        <tr r="K270" s="2"/>
      </tp>
      <tp>
        <v>147.5</v>
        <stp/>
        <stp>BDP|17316724661499590477|22</stp>
        <stp>TAWUNIYA AB Equity</stp>
        <stp>HIGH</stp>
        <tr r="M183" s="2"/>
      </tp>
      <tp>
        <v>6.81</v>
        <stp/>
        <stp>BDP|4322251798610160435|22</stp>
        <stp>ALSAIF AB Equity</stp>
        <stp>LOW</stp>
        <tr r="L50" s="2"/>
      </tp>
      <tp>
        <v>7.84</v>
        <stp/>
        <stp>BDP|975720372485794206|22</stp>
        <stp>SEDCO AB Equity</stp>
        <stp>LAST_PRICE</stp>
        <tr r="C99" s="2"/>
        <tr r="B99" s="2"/>
      </tp>
      <tp>
        <v>18.18</v>
        <stp/>
        <stp>BDP|3523292758127222280|22</stp>
        <stp>TAPRCO AB Equity</stp>
        <stp>BID</stp>
        <tr r="Q241" s="2"/>
      </tp>
      <tp>
        <v>132.4</v>
        <stp/>
        <stp>BDP|1785902181064447933|22</stp>
        <stp>ALMAJED AB Equity</stp>
        <stp>YEST_LAST_TRADE</stp>
        <tr r="G163" s="2"/>
      </tp>
      <tp>
        <v>13.62</v>
        <stp/>
        <stp>BDP|5656164633018969440|22</stp>
        <stp>NICEONE AB Equity</stp>
        <stp>YEST_LAST_TRADE</stp>
        <tr r="G42" s="2"/>
      </tp>
      <tp>
        <v>15.18</v>
        <stp/>
        <stp>BDP|8833356056824501969|22</stp>
        <stp>RAYDAN AB Equity</stp>
        <stp>ASK</stp>
        <tr r="R73" s="2"/>
      </tp>
      <tp>
        <v>60.85</v>
        <stp/>
        <stp>BDP|17792310668495979509|22</stp>
        <stp>AVALONPH AB Equity</stp>
        <stp>OPEN</stp>
        <tr r="K247" s="2"/>
      </tp>
      <tp>
        <v>0.82599999999999996</v>
        <stp/>
        <stp>BDP|3075193606249558672|22</stp>
        <stp>CENOMICE AB Equity</stp>
        <stp>CHG_PCT_1M_RT</stp>
        <tr r="E259" s="2"/>
      </tp>
      <tp>
        <v>47.66</v>
        <stp/>
        <stp>BDP|1700911488915136440|22</stp>
        <stp>ARABIANM AB Equity</stp>
        <stp>LOW</stp>
        <tr r="L138" s="2"/>
      </tp>
      <tp>
        <v>-0.82889999999999997</v>
        <stp/>
        <stp>BDP|4042109484449815902|22</stp>
        <stp>SMCHEALT AB Equity</stp>
        <stp>CHG_PCT_1M_RT</stp>
        <tr r="E150" s="2"/>
      </tp>
      <tp>
        <v>90.15</v>
        <stp/>
        <stp>BDP|8670872406084759402|22</stp>
        <stp>ARABIAND AB Equity</stp>
        <stp>LOW</stp>
        <tr r="L91" s="2"/>
      </tp>
      <tp>
        <v>49.84</v>
        <stp/>
        <stp>BDP|9095545622957821951|22</stp>
        <stp>ATAA AB Equity</stp>
        <stp>YEST_LAST_TRADE</stp>
        <tr r="G75" s="2"/>
      </tp>
      <tp>
        <v>4.87</v>
        <stp/>
        <stp>BDP|4286668032695345970|22</stp>
        <stp>ALINMARE AB Equity</stp>
        <stp>ASK</stp>
        <tr r="R96" s="2"/>
      </tp>
      <tp>
        <v>8.18</v>
        <stp/>
        <stp>BDP|9273574175803839940|22</stp>
        <stp>CHEMICAL AB Equity</stp>
        <stp>ASK</stp>
        <tr r="R154" s="2"/>
      </tp>
      <tp>
        <v>74.650000000000006</v>
        <stp/>
        <stp>BDP|6828928167294763168|22</stp>
        <stp>CATERING AB Equity</stp>
        <stp>LOW</stp>
        <tr r="L37" s="2"/>
      </tp>
      <tp>
        <v>0.68810000000000004</v>
        <stp/>
        <stp>BDP|17483826310103534014|22</stp>
        <stp>JADCO AB Equity</stp>
        <stp>CHG_PCT_YTD_RT</stp>
        <tr r="F145" s="2"/>
      </tp>
      <tp>
        <v>7.9234</v>
        <stp/>
        <stp>BDP|1600136185199254644|22</stp>
        <stp>SEDCO AB Equity</stp>
        <stp>VWAP</stp>
        <tr r="N99" s="2"/>
      </tp>
      <tp>
        <v>18.366900000000001</v>
        <stp/>
        <stp>BDP|6691107273474801706|22</stp>
        <stp>TAIBA AB Equity</stp>
        <stp>VWAP</stp>
        <tr r="N264" s="2"/>
      </tp>
      <tp>
        <v>71.088899999999995</v>
        <stp/>
        <stp>BDP|2721437518576939240|22</stp>
        <stp>RAOOM AB Equity</stp>
        <stp>VWAP</stp>
        <tr r="N19" s="2"/>
      </tp>
      <tp>
        <v>12.059200000000001</v>
        <stp/>
        <stp>BDP|2026146813482586742|22</stp>
        <stp>RETAL AB Equity</stp>
        <stp>VWAP</stp>
        <tr r="N250" s="2"/>
      </tp>
      <tp>
        <v>0</v>
        <stp/>
        <stp>BDP|9595284074039111478|22</stp>
        <stp>SGS AB Equity</stp>
        <stp>RT_PX_CHG_PCT_1D</stp>
        <tr r="D281" s="2"/>
      </tp>
      <tp>
        <v>180823</v>
        <stp/>
        <stp>BDP|12032806659937454272|22</stp>
        <stp>TAIBA AB Equity</stp>
        <stp>VOLUME</stp>
        <tr r="J264" s="2"/>
      </tp>
      <tp>
        <v>2.5489999999999999</v>
        <stp/>
        <stp>BDP|16556752782942755611|22</stp>
        <stp>WALAA AB Equity</stp>
        <stp>CHG_PCT_YTD_RT</stp>
        <tr r="F169" s="2"/>
      </tp>
      <tp>
        <v>545142</v>
        <stp/>
        <stp>BDP|15681719130550567808|22</stp>
        <stp>YNCCO AB Equity</stp>
        <stp>VOLUME</stp>
        <tr r="J209" s="2"/>
      </tp>
      <tp>
        <v>6.6508000000000003</v>
        <stp/>
        <stp>BDP|16824744000178487157|22</stp>
        <stp>QACCO AB Equity</stp>
        <stp>CHG_PCT_YTD_RT</stp>
        <tr r="F225" s="2"/>
      </tp>
      <tp>
        <v>303592</v>
        <stp/>
        <stp>BDP|10811862608815303023|22</stp>
        <stp>RASAN AB Equity</stp>
        <stp>VOLUME</stp>
        <tr r="J189" s="2"/>
      </tp>
      <tp>
        <v>53.938200000000002</v>
        <stp/>
        <stp>BDP|2190588054849649850|22</stp>
        <stp>SARCO AB Equity</stp>
        <stp>VWAP</stp>
        <tr r="N93" s="2"/>
      </tp>
      <tp>
        <v>14.37</v>
        <stp/>
        <stp>BDP|6830271471035541887|22</stp>
        <stp>SIPCHEM AB Equity</stp>
        <stp>OPEN</stp>
        <tr r="K236" s="2"/>
      </tp>
      <tp>
        <v>1.5886</v>
        <stp/>
        <stp>BDP|18332554924571588712|22</stp>
        <stp>KEC AB Equity</stp>
        <stp>CHG_PCT_1M_RT</stp>
        <tr r="E263" s="2"/>
      </tp>
      <tp>
        <v>131.15899999999999</v>
        <stp/>
        <stp>BDP|6231217730712462431|22</stp>
        <stp>ALMAJED AB Equity</stp>
        <stp>VWAP</stp>
        <tr r="N163" s="2"/>
      </tp>
      <tp>
        <v>11.6556</v>
        <stp/>
        <stp>BDP|9876245812019296409|22</stp>
        <stp>KINGDOM AB Equity</stp>
        <stp>VWAP</stp>
        <tr r="N125" s="2"/>
      </tp>
      <tp>
        <v>1.2258000373840332</v>
        <stp/>
        <stp>BDP|10342988957153777835|22</stp>
        <stp>YNCCO AB Equity</stp>
        <stp>RT_PX_CHG_PCT_1D</stp>
        <tr r="D209" s="2"/>
      </tp>
      <tp>
        <v>55.9</v>
        <stp/>
        <stp>BDP|14535612372026974471|22</stp>
        <stp>FIRSTMIL AB Equity</stp>
        <stp>HIGH</stp>
        <tr r="M135" s="2"/>
      </tp>
      <tp>
        <v>-0.94120001792907715</v>
        <stp/>
        <stp>BDP|16698913632891294508|22</stp>
        <stp>YACCO AB Equity</stp>
        <stp>RT_PX_CHG_PCT_1D</stp>
        <tr r="D222" s="2"/>
      </tp>
      <tp>
        <v>36.991599999999998</v>
        <stp/>
        <stp>BDP|15299696000015747466|22</stp>
        <stp>FAKEEHCA AB Equity</stp>
        <stp>VWAP</stp>
        <tr r="N157" s="2"/>
      </tp>
      <tp>
        <v>50.45</v>
        <stp/>
        <stp>BDP|4198015795740841062|22</stp>
        <stp>SSP AB Equity</stp>
        <stp>ASK</stp>
        <tr r="R193" s="2"/>
      </tp>
      <tp>
        <v>-27.286999999999999</v>
        <stp/>
        <stp>BDP|1900559080903486095|22</stp>
        <stp>CENOMI AB Equity</stp>
        <stp>CHG_PCT_YTD_RT</stp>
        <tr r="F49" s="2"/>
      </tp>
      <tp>
        <v>6.3</v>
        <stp/>
        <stp>BDP|9931141115650534688|22</stp>
        <stp>SMASCO AB Equity</stp>
        <stp>ASK</stp>
        <tr r="R35" s="2"/>
      </tp>
      <tp>
        <v>10.98</v>
        <stp/>
        <stp>BDP|12405244365058723002|22</stp>
        <stp>JADWAREI AB Equity</stp>
        <stp>OPEN</stp>
        <tr r="K105" s="2"/>
      </tp>
      <tp>
        <v>-0.5788000226020813</v>
        <stp/>
        <stp>BDP|16011038134958068500|22</stp>
        <stp>RASAN AB Equity</stp>
        <stp>RT_PX_CHG_PCT_1D</stp>
        <tr r="D189" s="2"/>
      </tp>
      <tp>
        <v>29.3</v>
        <stp/>
        <stp>BDP|1513399975086707084|22</stp>
        <stp>YANSAB AB Equity</stp>
        <stp>LOW</stp>
        <tr r="L205" s="2"/>
      </tp>
      <tp>
        <v>75</v>
        <stp/>
        <stp>BDP|4543493825382585956|22</stp>
        <stp>CATERING AB Equity</stp>
        <stp>ASK</stp>
        <tr r="R37" s="2"/>
      </tp>
      <tp>
        <v>293157</v>
        <stp/>
        <stp>BDP|12291673855954006759|22</stp>
        <stp>AMAK AB Equity</stp>
        <stp>VOLUME</stp>
        <tr r="J196" s="2"/>
      </tp>
      <tp>
        <v>62.05</v>
        <stp/>
        <stp>BDP|337568196174288506|22</stp>
        <stp>ALMUNAJE AB Equity</stp>
        <stp>HIGH</stp>
        <tr r="M87" s="2"/>
      </tp>
      <tp>
        <v>6.69</v>
        <stp/>
        <stp>BDP|3289618756621415236|22</stp>
        <stp>ACIG AB Equity</stp>
        <stp>YEST_LAST_TRADE</stp>
        <tr r="G170" s="2"/>
      </tp>
      <tp>
        <v>37.96</v>
        <stp/>
        <stp>BDP|959855593939034382|22</stp>
        <stp>MARAFIQ AB Equity</stp>
        <stp>LAST_PRICE</stp>
        <tr r="C288" s="2"/>
        <tr r="B288" s="2"/>
      </tp>
      <tp>
        <v>23.3</v>
        <stp/>
        <stp>BDP|4582540895967331305|22</stp>
        <stp>THEEB AB Equity</stp>
        <stp>OPEN</stp>
        <tr r="K286" s="2"/>
      </tp>
      <tp>
        <v>19.5</v>
        <stp/>
        <stp>BDP|7815003312625904825|22</stp>
        <stp>SOCCO AB Equity</stp>
        <stp>OPEN</stp>
        <tr r="K200" s="2"/>
      </tp>
      <tp>
        <v>32.06</v>
        <stp/>
        <stp>BDP|7634931348671038524|22</stp>
        <stp>NSCSA AB Equity</stp>
        <stp>HIGH</stp>
        <tr r="M94" s="2"/>
      </tp>
      <tp>
        <v>15.662699999999999</v>
        <stp/>
        <stp>BDP|4115814358560239460|22</stp>
        <stp>YNCCO AB Equity</stp>
        <stp>VWAP</stp>
        <tr r="N209" s="2"/>
      </tp>
      <tp>
        <v>-13.670999999999999</v>
        <stp/>
        <stp>BDP|17843193650898260690|22</stp>
        <stp>SOCCO AB Equity</stp>
        <stp>CHG_PCT_YTD_RT</stp>
        <tr r="F200" s="2"/>
      </tp>
      <tp>
        <v>2.65</v>
        <stp/>
        <stp>BDP|5396612060356113652|22</stp>
        <stp>OASIS AB Equity</stp>
        <stp>OPEN</stp>
        <tr r="K207" s="2"/>
      </tp>
      <tp>
        <v>32.759399999999999</v>
        <stp/>
        <stp>BDP|5210072195592214448|22</stp>
        <stp>FIPCO AB Equity</stp>
        <stp>VWAP</stp>
        <tr r="N232" s="2"/>
      </tp>
      <tp>
        <v>-8.1257999999999999</v>
        <stp/>
        <stp>BDP|17223379502756602265|22</stp>
        <stp>TAACO AB Equity</stp>
        <stp>CHG_PCT_YTD_RT</stp>
        <tr r="F141" s="2"/>
      </tp>
      <tp>
        <v>16.8049</v>
        <stp/>
        <stp>BDP|8545750702688960555|22</stp>
        <stp>JARIR AB Equity</stp>
        <stp>VWAP</stp>
        <tr r="N51" s="2"/>
      </tp>
      <tp>
        <v>10.623900000000001</v>
        <stp/>
        <stp>BDP|6559352571749851519|22</stp>
        <stp>ZAINKSA AB Equity</stp>
        <stp>VWAP</stp>
        <tr r="N276" s="2"/>
      </tp>
      <tp>
        <v>20.2041</v>
        <stp/>
        <stp>BDP|17333501075592625847|22</stp>
        <stp>GAS AB Equity</stp>
        <stp>CHG_PCT_1M_RT</stp>
        <tr r="E30" s="2"/>
      </tp>
      <tp>
        <v>2.1053000000000002</v>
        <stp/>
        <stp>BDP|11112931601969408222|22</stp>
        <stp>BSF AB Equity</stp>
        <stp>CHG_PCT_1M_RT</stp>
        <tr r="E10" s="2"/>
      </tp>
      <tp>
        <v>8.39</v>
        <stp/>
        <stp>BDP|9331846247353660961|22</stp>
        <stp>GIZACO AB Equity</stp>
        <stp>BID</stp>
        <tr r="Q133" s="2"/>
      </tp>
      <tp>
        <v>0</v>
        <stp/>
        <stp>BDP|12439079469607837802|22</stp>
        <stp>MEFIC AB Equity</stp>
        <stp>RT_PX_CHG_PCT_1D</stp>
        <tr r="D108" s="2"/>
      </tp>
      <tp>
        <v>2.5931999683380127</v>
        <stp/>
        <stp>BDP|16480540568016165076|22</stp>
        <stp>NMMCC AB Equity</stp>
        <stp>RT_PX_CHG_PCT_1D</stp>
        <tr r="D195" s="2"/>
      </tp>
      <tp>
        <v>-0.52630001306533813</v>
        <stp/>
        <stp>BDP|12199634857314951413|22</stp>
        <stp>JOMAR AB Equity</stp>
        <stp>RT_PX_CHG_PCT_1D</stp>
        <tr r="D66" s="2"/>
      </tp>
      <tp>
        <v>4.3632</v>
        <stp/>
        <stp>BDP|1610486277267099100|22</stp>
        <stp>ATTMCO AB Equity</stp>
        <stp>CHG_PCT_YTD_RT</stp>
        <tr r="F131" s="2"/>
      </tp>
      <tp>
        <v>43.5</v>
        <stp/>
        <stp>BDP|2553468103103873335|22</stp>
        <stp>ALDAWAA AB Equity</stp>
        <stp>YEST_LAST_TRADE</stp>
        <tr r="G81" s="2"/>
      </tp>
      <tp>
        <v>212.6</v>
        <stp/>
        <stp>BDP|7222476751334341143|22</stp>
        <stp>SULAIMAN AB Equity</stp>
        <stp>ASK</stp>
        <tr r="R153" s="2"/>
      </tp>
      <tp>
        <v>4.87</v>
        <stp/>
        <stp>BDP|6971892889585513838|22</stp>
        <stp>BINDAWOO AB Equity</stp>
        <stp>LOW</stp>
        <tr r="L80" s="2"/>
      </tp>
      <tp>
        <v>-2.5093999999999999</v>
        <stp/>
        <stp>BDP|1586687883983058872|22</stp>
        <stp>SASEIDX Index</stp>
        <stp>CHG_PCT_1M_RT</stp>
        <tr r="E2" s="2"/>
      </tp>
      <tp>
        <v>-1.8366</v>
        <stp/>
        <stp>BDP|6100611775396972834|22</stp>
        <stp>JAMJOOMP AB Equity</stp>
        <stp>CHG_PCT_1M_RT</stp>
        <tr r="E248" s="2"/>
      </tp>
      <tp>
        <v>-1.6442000000000001</v>
        <stp/>
        <stp>BDP|3384382171476824375|22</stp>
        <stp>ASTRA AB Equity</stp>
        <stp>CHG_PCT_1M_RT</stp>
        <tr r="E27" s="2"/>
      </tp>
      <tp>
        <v>64.849999999999994</v>
        <stp/>
        <stp>BDP|3427225958692046942|22</stp>
        <stp>ALBABTAI AB Equity</stp>
        <stp>ASK</stp>
        <tr r="R15" s="2"/>
      </tp>
      <tp>
        <v>7.03</v>
        <stp/>
        <stp>BDP|12747898230016375799|22</stp>
        <stp>SPORTCLU AB Equity</stp>
        <stp>LAST_PRICE</stp>
        <tr r="C67" s="2"/>
        <tr r="B67" s="2"/>
      </tp>
      <tp>
        <v>17.09</v>
        <stp/>
        <stp>BDP|9767888568569474399|22</stp>
        <stp>CENOMICE AB Equity</stp>
        <stp>ASK</stp>
        <tr r="R259" s="2"/>
      </tp>
      <tp>
        <v>1.4759999513626099</v>
        <stp/>
        <stp>BDP|18051032978759859125|22</stp>
        <stp>SADR AB Equity</stp>
        <stp>RT_PX_CHG_PCT_1D</stp>
        <tr r="D39" s="2"/>
      </tp>
      <tp>
        <v>28.72</v>
        <stp/>
        <stp>BDP|10538708450781945829|22</stp>
        <stp>MODERNMI AB Equity</stp>
        <stp>LAST_PRICE</stp>
        <tr r="B137" s="2"/>
        <tr r="C137" s="2"/>
      </tp>
      <tp>
        <v>4.88</v>
        <stp/>
        <stp>BDP|18390809748678469096|22</stp>
        <stp>BINDAWOO AB Equity</stp>
        <stp>LAST_PRICE</stp>
        <tr r="B80" s="2"/>
        <tr r="C80" s="2"/>
      </tp>
      <tp>
        <v>21.064699999999998</v>
        <stp/>
        <stp>BDP|7949486803575515759|22</stp>
        <stp>SEERA AB Equity</stp>
        <stp>VWAP</stp>
        <tr r="N74" s="2"/>
      </tp>
      <tp>
        <v>30.7</v>
        <stp/>
        <stp>BDP|13553398271084222198|22</stp>
        <stp>SACCO AB Equity</stp>
        <stp>YEST_LAST_TRADE</stp>
        <tr r="G229" s="2"/>
      </tp>
      <tp>
        <v>25.48</v>
        <stp/>
        <stp>BDP|8558239266637964977|22</stp>
        <stp>YACCO AB Equity</stp>
        <stp>OPEN</stp>
        <tr r="K222" s="2"/>
      </tp>
      <tp>
        <v>56130</v>
        <stp/>
        <stp>BDP|17124193441463893802|22</stp>
        <stp>ENTAJ AB Equity</stp>
        <stp>VOLUME</stp>
        <tr r="J129" s="2"/>
      </tp>
      <tp>
        <v>-1.219499945640564</v>
        <stp/>
        <stp>BDP|9535660212056954434|22</stp>
        <stp>KEC AB Equity</stp>
        <stp>RT_PX_CHG_PCT_1D</stp>
        <tr r="D263" s="2"/>
      </tp>
      <tp>
        <v>33.710599999999999</v>
        <stp/>
        <stp>BDP|5370737200697504874|22</stp>
        <stp>SISCO AB Equity</stp>
        <stp>VWAP</stp>
        <tr r="N284" s="2"/>
      </tp>
      <tp>
        <v>5.2672999999999996</v>
        <stp/>
        <stp>BDP|15368914405030173239|22</stp>
        <stp>WATAN AB Equity</stp>
        <stp>CHG_PCT_YTD_RT</stp>
        <tr r="F165" s="2"/>
      </tp>
      <tp>
        <v>2283325</v>
        <stp/>
        <stp>BDP|15119339257130605583|22</stp>
        <stp>CMCER AB Equity</stp>
        <stp>VOLUME</stp>
        <tr r="J161" s="2"/>
      </tp>
      <tp>
        <v>-0.65039998292922974</v>
        <stp/>
        <stp>BDP|5557000974932268051|22</stp>
        <stp>ALINMA AB Equity</stp>
        <stp>RT_PX_CHG_PCT_1D</stp>
        <tr r="D4" s="2"/>
      </tp>
      <tp>
        <v>1.3363000154495239</v>
        <stp/>
        <stp>BDP|17225659531609439556|22</stp>
        <stp>JAHEZ AB Equity</stp>
        <stp>RT_PX_CHG_PCT_1D</stp>
        <tr r="D62" s="2"/>
      </tp>
      <tp>
        <v>29.5</v>
        <stp/>
        <stp>BDP|8732760140486424504|22</stp>
        <stp>YANSAB AB Equity</stp>
        <stp>ASK</stp>
        <tr r="R205" s="2"/>
      </tp>
      <tp>
        <v>10.96</v>
        <stp/>
        <stp>BDP|17498153939985906234|22</stp>
        <stp>ALJAZIRA AB Equity</stp>
        <stp>HIGH</stp>
        <tr r="M102" s="2"/>
      </tp>
      <tp>
        <v>82251</v>
        <stp/>
        <stp>BDP|3988289178940174254|22</stp>
        <stp>DALLAH AB Equity</stp>
        <stp>VOLUME</stp>
        <tr r="J160" s="2"/>
      </tp>
      <tp>
        <v>25.4</v>
        <stp/>
        <stp>BDP|3194705939649195926|22</stp>
        <stp>OBEKAN AB Equity</stp>
        <stp>ASK</stp>
        <tr r="R24" s="2"/>
      </tp>
      <tp>
        <v>6.7268999999999997</v>
        <stp/>
        <stp>BDP|16437932861047457461|22</stp>
        <stp>NORTHCEM AB Equity</stp>
        <stp>VWAP</stp>
        <tr r="N230" s="2"/>
      </tp>
      <tp>
        <v>1621653</v>
        <stp/>
        <stp>BDP|8372729646266516890|22</stp>
        <stp>MAADEN AB Equity</stp>
        <stp>VOLUME</stp>
        <tr r="J210" s="2"/>
      </tp>
      <tp>
        <v>-0.26809999346733093</v>
        <stp/>
        <stp>BDP|14810763813249543553|22</stp>
        <stp>NAHDI AB Equity</stp>
        <stp>RT_PX_CHG_PCT_1D</stp>
        <tr r="D86" s="2"/>
      </tp>
      <tp>
        <v>42.8</v>
        <stp/>
        <stp>BDP|12507999125825747146|22</stp>
        <stp>ABOMOATI AB Equity</stp>
        <stp>OPEN</stp>
        <tr r="K43" s="2"/>
      </tp>
      <tp>
        <v>4.8973000000000004</v>
        <stp/>
        <stp>BDP|13099617745904817843|22</stp>
        <stp>BINDAWOO AB Equity</stp>
        <stp>VWAP</stp>
        <tr r="N80" s="2"/>
      </tp>
      <tp>
        <v>5.0350000000000001</v>
        <stp/>
        <stp>BDP|6102259028138505264|22</stp>
        <stp>MAHARAH AB Equity</stp>
        <stp>YEST_LAST_TRADE</stp>
        <tr r="G34" s="2"/>
      </tp>
      <tp>
        <v>11.6</v>
        <stp/>
        <stp>BDP|7742797056681107753|22</stp>
        <stp>KINGDOM AB Equity</stp>
        <stp>YEST_LAST_TRADE</stp>
        <tr r="G125" s="2"/>
      </tp>
      <tp>
        <v>2.1800000000000002</v>
        <stp/>
        <stp>BDP|7172255389156104035|22</stp>
        <stp>ABDICO AB Equity</stp>
        <stp>LOW</stp>
        <tr r="L123" s="2"/>
      </tp>
      <tp>
        <v>1493524</v>
        <stp/>
        <stp>BDP|14113611732462515612|22</stp>
        <stp>SIDC AB Equity</stp>
        <stp>VOLUME</stp>
        <tr r="J56" s="2"/>
      </tp>
      <tp>
        <v>1285796</v>
        <stp/>
        <stp>BDP|15346346397472411441|22</stp>
        <stp>SIBC AB Equity</stp>
        <stp>VOLUME</stp>
        <tr r="J11" s="2"/>
      </tp>
      <tp>
        <v>42.42</v>
        <stp/>
        <stp>BDP|7610288719860157883|22</stp>
        <stp>ABOMOATI AB Equity</stp>
        <stp>LOW</stp>
        <tr r="L43" s="2"/>
      </tp>
      <tp>
        <v>16</v>
        <stp/>
        <stp>BDP|8989728700394116351|22</stp>
        <stp>SAIC AB Equity</stp>
        <stp>YEST_LAST_TRADE</stp>
        <tr r="G117" s="2"/>
      </tp>
      <tp>
        <v>16.899999999999999</v>
        <stp/>
        <stp>BDP|2077420469956974130|22</stp>
        <stp>CENOMICE AB Equity</stp>
        <stp>LOW</stp>
        <tr r="L259" s="2"/>
      </tp>
      <tp>
        <v>73796</v>
        <stp/>
        <stp>BDP|11586489807068688904|22</stp>
        <stp>MRNA AB Equity</stp>
        <stp>VOLUME</stp>
        <tr r="J124" s="2"/>
      </tp>
      <tp>
        <v>70.849999999999994</v>
        <stp/>
        <stp>BDP|6742395906880089492|22</stp>
        <stp>NGIC AB Equity</stp>
        <stp>YEST_LAST_TRADE</stp>
        <tr r="G293" s="2"/>
      </tp>
      <tp>
        <v>132.5</v>
        <stp/>
        <stp>BDP|5786463348711456641|22</stp>
        <stp>TADAWULG AB Equity</stp>
        <stp>ASK</stp>
        <tr r="R120" s="2"/>
      </tp>
      <tp>
        <v>4.8899999999999997</v>
        <stp/>
        <stp>BDP|5901435219251905332|22</stp>
        <stp>BINDAWOO AB Equity</stp>
        <stp>ASK</stp>
        <tr r="R80" s="2"/>
      </tp>
      <tp>
        <v>70.95</v>
        <stp/>
        <stp>BDP|1127340252137130930|22</stp>
        <stp>RESEARCH AB Equity</stp>
        <stp>BID</stp>
        <tr r="Q242" s="2"/>
      </tp>
      <tp>
        <v>64.7</v>
        <stp/>
        <stp>BDP|10930111317489868322|22</stp>
        <stp>ALBABTAI AB Equity</stp>
        <stp>LAST_PRICE</stp>
        <tr r="C15" s="2"/>
        <tr r="B15" s="2"/>
      </tp>
      <tp>
        <v>74.849999999999994</v>
        <stp/>
        <stp>BDP|8844432510119097171|22</stp>
        <stp>CATERING AB Equity</stp>
        <stp>BID</stp>
        <tr r="Q37" s="2"/>
      </tp>
      <tp>
        <v>101</v>
        <stp/>
        <stp>BDP|9270590478816983792|22</stp>
        <stp>ALMAWARI AB Equity</stp>
        <stp>BID</stp>
        <tr r="Q38" s="2"/>
      </tp>
      <tp>
        <v>0</v>
        <stp/>
        <stp>BDP|5758183738038062479|22</stp>
        <stp>ALWASAIL AB Equity</stp>
        <stp>CHG_PCT_1M_RT</stp>
        <tr r="E32" s="2"/>
      </tp>
      <tp>
        <v>117.4</v>
        <stp/>
        <stp>BDP|2412973117470636536|22</stp>
        <stp>RIYADHCA AB Equity</stp>
        <stp>LOW</stp>
        <tr r="L23" s="2"/>
      </tp>
      <tp>
        <v>8.5589999999999993</v>
        <stp/>
        <stp>BDP|13998604159659433595|22</stp>
        <stp>ANAAM AB Equity</stp>
        <stp>CHG_PCT_YTD_RT</stp>
        <tr r="F84" s="2"/>
      </tp>
      <tp>
        <v>-0.56180000305175781</v>
        <stp/>
        <stp>BDP|1835428576117303449|22</stp>
        <stp>MEH AB Equity</stp>
        <stp>RT_PX_CHG_PCT_1D</stp>
        <tr r="D152" s="2"/>
      </tp>
      <tp>
        <v>0.48730000000000001</v>
        <stp/>
        <stp>BDP|10621800441544065264|22</stp>
        <stp>SABIC AB Equity</stp>
        <stp>CHG_PCT_YTD_RT</stp>
        <tr r="F228" s="2"/>
      </tp>
      <tp>
        <v>13.3863</v>
        <stp/>
        <stp>BDP|7898297543965610053|22</stp>
        <stp>WATAN AB Equity</stp>
        <stp>VWAP</stp>
        <tr r="N165" s="2"/>
      </tp>
      <tp>
        <v>515370</v>
        <stp/>
        <stp>BDP|14368488165429823707|22</stp>
        <stp>WALAA AB Equity</stp>
        <stp>VOLUME</stp>
        <tr r="J169" s="2"/>
      </tp>
      <tp>
        <v>11.68</v>
        <stp/>
        <stp>BDP|2348869033110859569|22</stp>
        <stp>KINGDOM AB Equity</stp>
        <stp>OPEN</stp>
        <tr r="K125" s="2"/>
      </tp>
      <tp>
        <v>11.98</v>
        <stp/>
        <stp>BDP|12542997190452053047|22</stp>
        <stp>SHIELD AB Equity</stp>
        <stp>YEST_LAST_TRADE</stp>
        <tr r="G174" s="2"/>
      </tp>
      <tp>
        <v>233.4</v>
        <stp/>
        <stp>BDP|3857326542794102440|22</stp>
        <stp>MIS AB Equity</stp>
        <stp>ASK</stp>
        <tr r="R268" s="2"/>
      </tp>
      <tp>
        <v>36</v>
        <stp/>
        <stp>BDP|2754021320047075930|22</stp>
        <stp>ZOUJAJ AB Equity</stp>
        <stp>BID</stp>
        <tr r="Q220" s="2"/>
      </tp>
      <tp>
        <v>22.81</v>
        <stp/>
        <stp>BDP|5462493993512262394|22</stp>
        <stp>SAWCEM AB Equity</stp>
        <stp>LOW</stp>
        <tr r="L204" s="2"/>
      </tp>
      <tp>
        <v>0</v>
        <stp/>
        <stp>BDP|16272110325465881433|22</stp>
        <stp>THEEB AB Equity</stp>
        <stp>RT_PX_CHG_PCT_1D</stp>
        <tr r="D286" s="2"/>
      </tp>
      <tp>
        <v>24580522</v>
        <stp/>
        <stp>BDP|4845950730664159188|22</stp>
        <stp>ABDICO AB Equity</stp>
        <stp>VOLUME</stp>
        <tr r="J123" s="2"/>
      </tp>
      <tp>
        <v>10.01</v>
        <stp/>
        <stp>BDP|1068547419285310977|22</stp>
        <stp>BONYAN AB Equity</stp>
        <stp>ASK</stp>
        <tr r="R114" s="2"/>
      </tp>
      <tp>
        <v>34191</v>
        <stp/>
        <stp>BDP|9036207176690015599|22</stp>
        <stp>MULKIA AB Equity</stp>
        <stp>VOLUME</stp>
        <tr r="J100" s="2"/>
      </tp>
      <tp>
        <v>9.99</v>
        <stp/>
        <stp>BDP|8266644851324572595|22</stp>
        <stp>BONYAN AB Equity</stp>
        <stp>BID</stp>
        <tr r="Q114" s="2"/>
      </tp>
      <tp>
        <v>215.3</v>
        <stp/>
        <stp>BDP|4786326970027658644|22</stp>
        <stp>SADAFCO AB Equity</stp>
        <stp>YEST_LAST_TRADE</stp>
        <tr r="G134" s="2"/>
      </tp>
      <tp>
        <v>44.8</v>
        <stp/>
        <stp>BDP|5805087819299798060|22</stp>
        <stp>ALMARAI AB Equity</stp>
        <stp>YEST_LAST_TRADE</stp>
        <tr r="G144" s="2"/>
      </tp>
      <tp>
        <v>28.58</v>
        <stp/>
        <stp>BDP|7623370986832220634|22</stp>
        <stp>SAVOLA AB Equity</stp>
        <stp>ASK</stp>
        <tr r="R143" s="2"/>
      </tp>
      <tp>
        <v>4.88</v>
        <stp/>
        <stp>BDP|7035321912969982176|22</stp>
        <stp>BINDAWOO AB Equity</stp>
        <stp>BID</stp>
        <tr r="Q80" s="2"/>
      </tp>
      <tp>
        <v>-20.3049</v>
        <stp/>
        <stp>BDP|12827065078434312756|22</stp>
        <stp>GACO AB Equity</stp>
        <stp>CHG_PCT_YTD_RT</stp>
        <tr r="F142" s="2"/>
      </tp>
      <tp>
        <v>32.64</v>
        <stp/>
        <stp>BDP|8087756680183590987|22</stp>
        <stp>SABB AB Equity</stp>
        <stp>YEST_LAST_TRADE</stp>
        <tr r="G7" s="2"/>
      </tp>
      <tp>
        <v>8.5</v>
        <stp/>
        <stp>BDP|3170484753708030347|22</stp>
        <stp>AICC AB Equity</stp>
        <stp>YEST_LAST_TRADE</stp>
        <tr r="G168" s="2"/>
      </tp>
      <tp>
        <v>36.94</v>
        <stp/>
        <stp>BDP|2674238764462260724|22</stp>
        <stp>FAKEEHCA AB Equity</stp>
        <stp>ASK</stp>
        <tr r="R157" s="2"/>
      </tp>
      <tp>
        <v>-1.9231</v>
        <stp/>
        <stp>BDP|1432938231575081320|22</stp>
        <stp>SICOSAUD AB Equity</stp>
        <stp>CHG_PCT_1M_RT</stp>
        <tr r="E113" s="2"/>
      </tp>
      <tp>
        <v>6.875</v>
        <stp/>
        <stp>BDP|10760601947598446068|22</stp>
        <stp>SAIC AB Equity</stp>
        <stp>RT_PX_CHG_PCT_1D</stp>
        <tr r="D117" s="2"/>
      </tp>
      <tp>
        <v>14.23</v>
        <stp/>
        <stp>BDP|7105772510720007559|22</stp>
        <stp>NGCO AB Equity</stp>
        <stp>YEST_LAST_TRADE</stp>
        <tr r="G199" s="2"/>
      </tp>
      <tp>
        <v>17.75</v>
        <stp/>
        <stp>BDP|2036087977770060649|22</stp>
        <stp>ADCO AB Equity</stp>
        <stp>YEST_LAST_TRADE</stp>
        <tr r="G260" s="2"/>
      </tp>
      <tp>
        <v>6.74</v>
        <stp/>
        <stp>BDP|3064516875285671448|22</stp>
        <stp>TAACO AB Equity</stp>
        <stp>OPEN</stp>
        <tr r="K141" s="2"/>
      </tp>
      <tp>
        <v>6.8</v>
        <stp/>
        <stp>BDP|4718324990811118376|22</stp>
        <stp>AMANA AB Equity</stp>
        <stp>OPEN</stp>
        <tr r="K176" s="2"/>
      </tp>
      <tp>
        <v>0.616100013256073</v>
        <stp/>
        <stp>BDP|4277463595372609427|22</stp>
        <stp>GIG AB Equity</stp>
        <stp>RT_PX_CHG_PCT_1D</stp>
        <tr r="D185" s="2"/>
      </tp>
      <tp>
        <v>10.395099999999999</v>
        <stp/>
        <stp>BDP|5306816297393037057|22</stp>
        <stp>WALAA AB Equity</stp>
        <stp>VWAP</stp>
        <tr r="N169" s="2"/>
      </tp>
      <tp>
        <v>15.21</v>
        <stp/>
        <stp>BDP|3960068293015125186|22</stp>
        <stp>JOMAR AB Equity</stp>
        <stp>OPEN</stp>
        <tr r="K66" s="2"/>
      </tp>
      <tp>
        <v>270359</v>
        <stp/>
        <stp>BDP|12023098194527772604|22</stp>
        <stp>EMAAR AB Equity</stp>
        <stp>VOLUME</stp>
        <tr r="J262" s="2"/>
      </tp>
      <tp>
        <v>-1.3071999549865723</v>
        <stp/>
        <stp>BDP|7436793100472659829|22</stp>
        <stp>BUDGET AB Equity</stp>
        <stp>RT_PX_CHG_PCT_1D</stp>
        <tr r="D285" s="2"/>
      </tp>
      <tp>
        <v>124.00360000000001</v>
        <stp/>
        <stp>BDP|2304956190484749942|22</stp>
        <stp>LUBEREF AB Equity</stp>
        <stp>VWAP</stp>
        <tr r="N235" s="2"/>
      </tp>
      <tp>
        <v>3.1960999999999999</v>
        <stp/>
        <stp>BDP|16649391021543557067|22</stp>
        <stp>ACE AB Equity</stp>
        <stp>CHG_PCT_1M_RT</stp>
        <tr r="E177" s="2"/>
      </tp>
      <tp>
        <v>9.93</v>
        <stp/>
        <stp>BDP|656418289090310191|22</stp>
        <stp>NAYIFAT AB Equity</stp>
        <stp>ASK</stp>
        <tr r="R121" s="2"/>
      </tp>
      <tp>
        <v>13.58</v>
        <stp/>
        <stp>BDP|334274104940216104|22</stp>
        <stp>NICEONE AB Equity</stp>
        <stp>LOW</stp>
        <tr r="L42" s="2"/>
      </tp>
      <tp>
        <v>9.9111995697021484</v>
        <stp/>
        <stp>BDP|14390514313526928674|22</stp>
        <stp>AMANA AB Equity</stp>
        <stp>RT_PX_CHG_PCT_1D</stp>
        <tr r="D176" s="2"/>
      </tp>
      <tp>
        <v>1.66</v>
        <stp/>
        <stp>BDP|15203196640032255490|22</stp>
        <stp>ALKATHIR AB Equity</stp>
        <stp>HIGH</stp>
        <tr r="M203" s="2"/>
      </tp>
      <tp>
        <v>3.0680000782012939</v>
        <stp/>
        <stp>BDP|18275540126915917915|22</stp>
        <stp>ANAAM AB Equity</stp>
        <stp>RT_PX_CHG_PCT_1D</stp>
        <tr r="D84" s="2"/>
      </tp>
      <tp>
        <v>302495</v>
        <stp/>
        <stp>BDP|1333587690786447993|22</stp>
        <stp>GIZACO AB Equity</stp>
        <stp>VOLUME</stp>
        <tr r="J133" s="2"/>
      </tp>
      <tp>
        <v>9.85</v>
        <stp/>
        <stp>BDP|1072241461809255174|22</stp>
        <stp>MALATH AB Equity</stp>
        <stp>LOW</stp>
        <tr r="L182" s="2"/>
      </tp>
      <tp>
        <v>12132982</v>
        <stp/>
        <stp>BDP|4858257077957081824|22</stp>
        <stp>ARAMCO AB Equity</stp>
        <stp>VOLUME</stp>
        <tr r="J92" s="2"/>
      </tp>
      <tp>
        <v>13.88</v>
        <stp/>
        <stp>BDP|38579424935455778|22</stp>
        <stp>SHAKER AB Equity</stp>
        <stp>BID</stp>
        <tr r="Q18" s="2"/>
      </tp>
      <tp>
        <v>7.19</v>
        <stp/>
        <stp>BDP|9706817990212919775|22</stp>
        <stp>SPPC AB Equity</stp>
        <stp>YEST_LAST_TRADE</stp>
        <tr r="G40" s="2"/>
      </tp>
      <tp>
        <v>4.82</v>
        <stp/>
        <stp>BDP|7766179341002170652|22</stp>
        <stp>ALINMARE AB Equity</stp>
        <stp>LOW</stp>
        <tr r="L96" s="2"/>
      </tp>
      <tp>
        <v>26.6904</v>
        <stp/>
        <stp>BDP|15174391300137171880|22</stp>
        <stp>SECO AB Equity</stp>
        <stp>CHG_PCT_YTD_RT</stp>
        <tr r="F291" s="2"/>
      </tp>
      <tp>
        <v>2482121</v>
        <stp/>
        <stp>BDP|15571062822995746046|22</stp>
        <stp>SABB AB Equity</stp>
        <stp>VOLUME</stp>
        <tr r="J7" s="2"/>
      </tp>
      <tp>
        <v>7.7320000000000002</v>
        <stp/>
        <stp>BDP|6432346189825658276|22</stp>
        <stp>AMERICAN AB Equity</stp>
        <stp>CHG_PCT_1M_RT</stp>
        <tr r="E68" s="2"/>
      </tp>
      <tp t="s">
        <v>#N/A N/A</v>
        <stp/>
        <stp>BDP|7283927427045991518|22</stp>
        <stp>CHEMANOL AB Equity</stp>
        <stp>BID</stp>
        <tr r="Q234" s="2"/>
      </tp>
      <tp>
        <v>14.15</v>
        <stp/>
        <stp>BDP|8957717059840588233|22</stp>
        <stp>SAAC AB Equity</stp>
        <stp>YEST_LAST_TRADE</stp>
        <tr r="G17" s="2"/>
      </tp>
      <tp>
        <v>106</v>
        <stp/>
        <stp>BDP|3182346897876108441|22</stp>
        <stp>CARE AB Equity</stp>
        <stp>YEST_LAST_TRADE</stp>
        <tr r="G158" s="2"/>
      </tp>
      <tp>
        <v>2.69</v>
        <stp/>
        <stp>BDP|7261764901524937846|22</stp>
        <stp>ALWASAIL AB Equity</stp>
        <stp>BID</stp>
        <tr r="Q32" s="2"/>
      </tp>
      <tp>
        <v>7.0038999999999998</v>
        <stp/>
        <stp>BDP|11213346726391655201|22</stp>
        <stp>SADR AB Equity</stp>
        <stp>CHG_PCT_YTD_RT</stp>
        <tr r="F39" s="2"/>
      </tp>
      <tp>
        <v>-0.81599999999999995</v>
        <stp/>
        <stp>BDP|2052729634092157564|22</stp>
        <stp>ALJAZIRA AB Equity</stp>
        <stp>CHG_PCT_1M_RT</stp>
        <tr r="E102" s="2"/>
      </tp>
      <tp>
        <v>32.42</v>
        <stp/>
        <stp>BDP|7980951283562862941|22</stp>
        <stp>LUMI AB Equity</stp>
        <stp>YEST_LAST_TRADE</stp>
        <tr r="G280" s="2"/>
      </tp>
      <tp>
        <v>8.2799999999999994</v>
        <stp/>
        <stp>BDP|16449356504760919599|22</stp>
        <stp>ALINMAHO AB Equity</stp>
        <stp>LAST_PRICE</stp>
        <tr r="C97" s="2"/>
        <tr r="B97" s="2"/>
      </tp>
      <tp>
        <v>69.3</v>
        <stp/>
        <stp>BDP|8145869362796732114|22</stp>
        <stp>RAOOM AB Equity</stp>
        <stp>OPEN</stp>
        <tr r="K19" s="2"/>
      </tp>
      <tp>
        <v>-14.245799999999999</v>
        <stp/>
        <stp>BDP|14144330060004091052|22</stp>
        <stp>BANAN AB Equity</stp>
        <stp>CHG_PCT_YTD_RT</stp>
        <tr r="F256" s="2"/>
      </tp>
      <tp>
        <v>13.7201</v>
        <stp/>
        <stp>BDP|7743248952144633238|22</stp>
        <stp>JAHEZ AB Equity</stp>
        <stp>VWAP</stp>
        <tr r="N62" s="2"/>
      </tp>
      <tp>
        <v>1.7927000522613525</v>
        <stp/>
        <stp>BDP|7566004002448403287|22</stp>
        <stp>MIS AB Equity</stp>
        <stp>RT_PX_CHG_PCT_1D</stp>
        <tr r="D268" s="2"/>
      </tp>
      <tp>
        <v>16.494800000000001</v>
        <stp/>
        <stp>BDP|18128726103505956363|22</stp>
        <stp>BATIC AB Equity</stp>
        <stp>CHG_PCT_YTD_RT</stp>
        <tr r="F26" s="2"/>
      </tp>
      <tp>
        <v>14.8241</v>
        <stp/>
        <stp>BDP|1287352275075650241|22</stp>
        <stp>HERFY AB Equity</stp>
        <stp>VWAP</stp>
        <tr r="N69" s="2"/>
      </tp>
      <tp>
        <v>11.98</v>
        <stp/>
        <stp>BDP|1921804139748252777|22</stp>
        <stp>RETAL AB Equity</stp>
        <stp>OPEN</stp>
        <tr r="K250" s="2"/>
      </tp>
      <tp>
        <v>2071029</v>
        <stp/>
        <stp>BDP|16833719407622063865|22</stp>
        <stp>SARCO AB Equity</stp>
        <stp>VOLUME</stp>
        <tr r="J93" s="2"/>
      </tp>
      <tp>
        <v>32.24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workbookViewId="0">
      <selection activeCell="I20" sqref="I20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10799.92</v>
      </c>
      <c r="C2" s="4">
        <f>_xll.BDP("SASEIDX Index","LAST_PRICE")</f>
        <v>10799.92</v>
      </c>
      <c r="D2" s="4">
        <f>_xll.BDP("SASEIDX Index","RT_PX_CHG_PCT_1D")</f>
        <v>7.1999996900558472E-2</v>
      </c>
      <c r="E2" s="4">
        <f>_xll.BDP("SASEIDX Index","CHG_PCT_1M_RT")</f>
        <v>-2.5093999999999999</v>
      </c>
      <c r="F2" s="4">
        <f>_xll.BDP("SASEIDX Index","CHG_PCT_YTD_RT")</f>
        <v>2.9477000000000002</v>
      </c>
      <c r="G2" s="4">
        <f>_xll.BDP("SASEIDX Index","YEST_LAST_TRADE")</f>
        <v>10792.15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294099190</v>
      </c>
      <c r="K2" s="4">
        <f>_xll.BDP("SASEIDX Index","OPEN")</f>
        <v>10792.15</v>
      </c>
      <c r="L2" s="4">
        <f>_xll.BDP("SASEIDX Index","LOW")</f>
        <v>10756.51</v>
      </c>
      <c r="M2" s="4">
        <f>_xll.BDP("SASEIDX Index","HIGH")</f>
        <v>10819.47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228515529.56666666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-2.2287089999999998</v>
      </c>
      <c r="T2" s="4">
        <f>_xll.BDP("SASEIDX Index","HIGH_30D")</f>
        <v>11172.15</v>
      </c>
      <c r="U2" s="4">
        <f>_xll.BDP("SASEIDX Index","LOW_30D")</f>
        <v>10756.51</v>
      </c>
      <c r="V2" s="10" t="str" cm="1">
        <f t="array" aca="1" ref="V2" ca="1">_xll.BDH(A2&amp;" Index","MOV_AVG_200D",TODAY()-32,TODAY()-32,"Days=T")</f>
        <v>#N/A N/A</v>
      </c>
      <c r="W2" s="6">
        <v>10989.21</v>
      </c>
      <c r="X2" s="6">
        <f>IF(B2="","",_xlfn.SINGLE(_xll.BDP(A2&amp;" Index","MOV_AVG_200D")))</f>
        <v>11035.15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14</v>
      </c>
      <c r="AB3">
        <f>_xll.BDP($Z3,AB$2)</f>
        <v>-1.8366999626159668</v>
      </c>
    </row>
    <row r="4" spans="1:28" x14ac:dyDescent="0.25">
      <c r="A4" t="s">
        <v>21</v>
      </c>
      <c r="B4">
        <f>_xll.BDP(A4&amp;" AB Equity","LAST_PRICE")</f>
        <v>24.44</v>
      </c>
      <c r="C4">
        <f>_xll.BDP(A4&amp;" AB Equity","LAST_PRICE")</f>
        <v>24.44</v>
      </c>
      <c r="D4">
        <f>_xll.BDP(A4&amp;" AB Equity","RT_PX_CHG_PCT_1D")</f>
        <v>-0.65039998292922974</v>
      </c>
      <c r="E4">
        <f>_xll.BDP(A4&amp;" AB Equity","CHG_PCT_1M_RT")</f>
        <v>1.6215999999999999</v>
      </c>
      <c r="F4">
        <f>_xll.BDP(A4&amp;" AB Equity","CHG_PCT_YTD_RT")</f>
        <v>20.293399999999998</v>
      </c>
      <c r="G4">
        <f>_xll.BDP(A4&amp;" AB Equity","YEST_LAST_TRADE")</f>
        <v>24.6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3336806</v>
      </c>
      <c r="K4">
        <f>_xll.BDP(A4&amp;" AB Equity","OPEN")</f>
        <v>24.6</v>
      </c>
      <c r="L4">
        <f>_xll.BDP(A4&amp;" AB Equity","LOW")</f>
        <v>24.42</v>
      </c>
      <c r="M4">
        <f>_xll.BDP(A4&amp;" AB Equity","HIGH")</f>
        <v>24.65</v>
      </c>
      <c r="N4">
        <f>_xll.BDP(A4&amp;" AB Equity","VWAP")</f>
        <v>24.479700000000001</v>
      </c>
      <c r="O4" t="str">
        <f>_xll.BDP(A4&amp;" AB Equity","SAUDI_ARABIA_EXCHANGE_ID")</f>
        <v>1150</v>
      </c>
      <c r="P4">
        <f>_xll.BDP(A4&amp;" AB Equity","VOLUME_AVG_30D")</f>
        <v>4495075</v>
      </c>
      <c r="Q4">
        <f>_xll.BDP(A4&amp;" AB Equity","BID")</f>
        <v>24.43</v>
      </c>
      <c r="R4">
        <f>_xll.BDP(A4&amp;" AB Equity","ASK")</f>
        <v>24.44</v>
      </c>
      <c r="S4">
        <f>_xll.BDP(A4&amp;" AB Equity","CHG_PCT_MOV_AVG_200D")</f>
        <v>8.2310669999999995</v>
      </c>
      <c r="T4">
        <f>_xll.BDP(A4&amp;" AB Equity","HIGH_30D")</f>
        <v>25.38</v>
      </c>
      <c r="U4">
        <f>_xll.BDP(A4&amp;" AB Equity","LOW_30D")</f>
        <v>23.51</v>
      </c>
      <c r="V4" s="11" t="str" cm="1">
        <f t="array" aca="1" ref="V4" ca="1">_xll.BDH(A4&amp;" AB Equity","MOV_AVG_200D",TODAY()-32,TODAY()-32,"Days=T")</f>
        <v>#N/A N/A</v>
      </c>
      <c r="W4">
        <v>10994.25</v>
      </c>
      <c r="X4">
        <f>IF(B4="","",_xlfn.SINGLE(_xll.BDP(A4&amp;" AB Equity","MOV_AVG_200D")))</f>
        <v>22.618269999999999</v>
      </c>
      <c r="Z4" t="s">
        <v>305</v>
      </c>
      <c r="AA4">
        <f>_xll.BDP($Z4,AA$2)</f>
        <v>65.45</v>
      </c>
      <c r="AB4">
        <f>_xll.BDP($Z4,AB$2)</f>
        <v>-3.7918000221252441</v>
      </c>
    </row>
    <row r="5" spans="1:28" x14ac:dyDescent="0.25">
      <c r="A5" t="s">
        <v>22</v>
      </c>
      <c r="B5">
        <f>_xll.BDP(A5&amp;" AB Equity","LAST_PRICE")</f>
        <v>24.39</v>
      </c>
      <c r="C5">
        <f>_xll.BDP(A5&amp;" AB Equity","LAST_PRICE")</f>
        <v>24.39</v>
      </c>
      <c r="D5">
        <f>_xll.BDP(A5&amp;" AB Equity","RT_PX_CHG_PCT_1D")</f>
        <v>0.78509998321533203</v>
      </c>
      <c r="E5">
        <f>_xll.BDP(A5&amp;" AB Equity","CHG_PCT_1M_RT")</f>
        <v>-0.2046</v>
      </c>
      <c r="F5">
        <f>_xll.BDP(A5&amp;" AB Equity","CHG_PCT_YTD_RT")</f>
        <v>-1.7324999999999999</v>
      </c>
      <c r="G5">
        <f>_xll.BDP(A5&amp;" AB Equity","YEST_LAST_TRADE")</f>
        <v>24.2</v>
      </c>
      <c r="H5">
        <f>_xll.BDP(A5&amp;" AB Equity","HIGH_52WEEK")</f>
        <v>30.16</v>
      </c>
      <c r="I5">
        <f>_xll.BDP(A5&amp;" AB Equity","LOW_52WEEK")</f>
        <v>23.72</v>
      </c>
      <c r="J5">
        <f>_xll.BDP(A5&amp;" AB Equity","VOLUME")</f>
        <v>3513971</v>
      </c>
      <c r="K5">
        <f>_xll.BDP(A5&amp;" AB Equity","OPEN")</f>
        <v>24.2</v>
      </c>
      <c r="L5">
        <f>_xll.BDP(A5&amp;" AB Equity","LOW")</f>
        <v>24.06</v>
      </c>
      <c r="M5">
        <f>_xll.BDP(A5&amp;" AB Equity","HIGH")</f>
        <v>24.39</v>
      </c>
      <c r="N5">
        <f>_xll.BDP(A5&amp;" AB Equity","VWAP")</f>
        <v>24.212599999999998</v>
      </c>
      <c r="O5" t="str">
        <f>_xll.BDP(A5&amp;" AB Equity","SAUDI_ARABIA_EXCHANGE_ID")</f>
        <v>1140</v>
      </c>
      <c r="P5">
        <f>_xll.BDP(A5&amp;" AB Equity","VOLUME_AVG_30D")</f>
        <v>1768761</v>
      </c>
      <c r="Q5">
        <f>_xll.BDP(A5&amp;" AB Equity","BID")</f>
        <v>24.25</v>
      </c>
      <c r="R5">
        <f>_xll.BDP(A5&amp;" AB Equity","ASK")</f>
        <v>24.39</v>
      </c>
      <c r="S5">
        <f>_xll.BDP(A5&amp;" AB Equity","CHG_PCT_MOV_AVG_200D")</f>
        <v>-8.0635519999999996</v>
      </c>
      <c r="T5">
        <f>_xll.BDP(A5&amp;" AB Equity","HIGH_30D")</f>
        <v>25.5</v>
      </c>
      <c r="U5">
        <f>_xll.BDP(A5&amp;" AB Equity","LOW_30D")</f>
        <v>24.09</v>
      </c>
      <c r="V5" s="11" t="str" cm="1">
        <f t="array" aca="1" ref="V5" ca="1">_xll.BDH(A5&amp;" AB Equity","MOV_AVG_200D",TODAY()-32,TODAY()-32,"Days=T")</f>
        <v>#N/A N/A</v>
      </c>
      <c r="W5">
        <v>10995.95</v>
      </c>
      <c r="X5">
        <f>IF(B5="","",_xlfn.SINGLE(_xll.BDP(A5&amp;" AB Equity","MOV_AVG_200D")))</f>
        <v>26.289899999999999</v>
      </c>
    </row>
    <row r="6" spans="1:28" x14ac:dyDescent="0.25">
      <c r="A6" t="s">
        <v>23</v>
      </c>
      <c r="B6">
        <f>_xll.BDP(A6&amp;" AB Equity","LAST_PRICE")</f>
        <v>11.61</v>
      </c>
      <c r="C6">
        <f>_xll.BDP(A6&amp;" AB Equity","LAST_PRICE")</f>
        <v>11.61</v>
      </c>
      <c r="D6">
        <f>_xll.BDP(A6&amp;" AB Equity","RT_PX_CHG_PCT_1D")</f>
        <v>-1.6935000419616699</v>
      </c>
      <c r="E6">
        <f>_xll.BDP(A6&amp;" AB Equity","CHG_PCT_1M_RT")</f>
        <v>1.3974</v>
      </c>
      <c r="F6">
        <f>_xll.BDP(A6&amp;" AB Equity","CHG_PCT_YTD_RT")</f>
        <v>4.1256000000000004</v>
      </c>
      <c r="G6">
        <f>_xll.BDP(A6&amp;" AB Equity","YEST_LAST_TRADE")</f>
        <v>11.81</v>
      </c>
      <c r="H6">
        <f>_xll.BDP(A6&amp;" AB Equity","HIGH_52WEEK")</f>
        <v>13.31</v>
      </c>
      <c r="I6">
        <f>_xll.BDP(A6&amp;" AB Equity","LOW_52WEEK")</f>
        <v>10.81</v>
      </c>
      <c r="J6">
        <f>_xll.BDP(A6&amp;" AB Equity","VOLUME")</f>
        <v>3563215</v>
      </c>
      <c r="K6">
        <f>_xll.BDP(A6&amp;" AB Equity","OPEN")</f>
        <v>11.78</v>
      </c>
      <c r="L6">
        <f>_xll.BDP(A6&amp;" AB Equity","LOW")</f>
        <v>11.58</v>
      </c>
      <c r="M6">
        <f>_xll.BDP(A6&amp;" AB Equity","HIGH")</f>
        <v>11.78</v>
      </c>
      <c r="N6">
        <f>_xll.BDP(A6&amp;" AB Equity","VWAP")</f>
        <v>11.6457</v>
      </c>
      <c r="O6" t="str">
        <f>_xll.BDP(A6&amp;" AB Equity","SAUDI_ARABIA_EXCHANGE_ID")</f>
        <v>1020</v>
      </c>
      <c r="P6">
        <f>_xll.BDP(A6&amp;" AB Equity","VOLUME_AVG_30D")</f>
        <v>2284278</v>
      </c>
      <c r="Q6">
        <f>_xll.BDP(A6&amp;" AB Equity","BID")</f>
        <v>11.61</v>
      </c>
      <c r="R6">
        <f>_xll.BDP(A6&amp;" AB Equity","ASK")</f>
        <v>11.66</v>
      </c>
      <c r="S6">
        <f>_xll.BDP(A6&amp;" AB Equity","CHG_PCT_MOV_AVG_200D")</f>
        <v>-1.851288</v>
      </c>
      <c r="T6">
        <f>_xll.BDP(A6&amp;" AB Equity","HIGH_30D")</f>
        <v>12.23</v>
      </c>
      <c r="U6">
        <f>_xll.BDP(A6&amp;" AB Equity","LOW_30D")</f>
        <v>11.26</v>
      </c>
      <c r="V6" s="11" t="str" cm="1">
        <f t="array" aca="1" ref="V6" ca="1">_xll.BDH(A6&amp;" AB Equity","MOV_AVG_200D",TODAY()-32,TODAY()-32,"Days=T")</f>
        <v>#N/A N/A</v>
      </c>
      <c r="W6">
        <v>10997.74</v>
      </c>
      <c r="X6">
        <f>IF(B6="","",_xlfn.SINGLE(_xll.BDP(A6&amp;" AB Equity","MOV_AVG_200D")))</f>
        <v>11.8188</v>
      </c>
    </row>
    <row r="7" spans="1:28" x14ac:dyDescent="0.25">
      <c r="A7" t="s">
        <v>24</v>
      </c>
      <c r="B7">
        <f>_xll.BDP(A7&amp;" AB Equity","LAST_PRICE")</f>
        <v>32.36</v>
      </c>
      <c r="C7">
        <f>_xll.BDP(A7&amp;" AB Equity","LAST_PRICE")</f>
        <v>32.36</v>
      </c>
      <c r="D7">
        <f>_xll.BDP(A7&amp;" AB Equity","RT_PX_CHG_PCT_1D")</f>
        <v>-0.85780000686645508</v>
      </c>
      <c r="E7">
        <f>_xll.BDP(A7&amp;" AB Equity","CHG_PCT_1M_RT")</f>
        <v>-5.9302000000000001</v>
      </c>
      <c r="F7">
        <f>_xll.BDP(A7&amp;" AB Equity","CHG_PCT_YTD_RT")</f>
        <v>-6.1800000000000001E-2</v>
      </c>
      <c r="G7">
        <f>_xll.BDP(A7&amp;" AB Equity","YEST_LAST_TRADE")</f>
        <v>32.64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2482121</v>
      </c>
      <c r="K7">
        <f>_xll.BDP(A7&amp;" AB Equity","OPEN")</f>
        <v>32.619999999999997</v>
      </c>
      <c r="L7">
        <f>_xll.BDP(A7&amp;" AB Equity","LOW")</f>
        <v>32.36</v>
      </c>
      <c r="M7">
        <f>_xll.BDP(A7&amp;" AB Equity","HIGH")</f>
        <v>32.9</v>
      </c>
      <c r="N7">
        <f>_xll.BDP(A7&amp;" AB Equity","VWAP")</f>
        <v>32.5197</v>
      </c>
      <c r="O7" t="str">
        <f>_xll.BDP(A7&amp;" AB Equity","SAUDI_ARABIA_EXCHANGE_ID")</f>
        <v>1060</v>
      </c>
      <c r="P7">
        <f>_xll.BDP(A7&amp;" AB Equity","VOLUME_AVG_30D")</f>
        <v>1721363</v>
      </c>
      <c r="Q7">
        <f>_xll.BDP(A7&amp;" AB Equity","BID")</f>
        <v>32.340000000000003</v>
      </c>
      <c r="R7">
        <f>_xll.BDP(A7&amp;" AB Equity","ASK")</f>
        <v>32.36</v>
      </c>
      <c r="S7">
        <f>_xll.BDP(A7&amp;" AB Equity","CHG_PCT_MOV_AVG_200D")</f>
        <v>-2.357599</v>
      </c>
      <c r="T7">
        <f>_xll.BDP(A7&amp;" AB Equity","HIGH_30D")</f>
        <v>34.86</v>
      </c>
      <c r="U7">
        <f>_xll.BDP(A7&amp;" AB Equity","LOW_30D")</f>
        <v>32.64</v>
      </c>
      <c r="V7" s="11" t="str" cm="1">
        <f t="array" aca="1" ref="V7" ca="1">_xll.BDH(A7&amp;" AB Equity","MOV_AVG_200D",TODAY()-32,TODAY()-32,"Days=T")</f>
        <v>#N/A N/A</v>
      </c>
      <c r="W7">
        <v>10999.16</v>
      </c>
      <c r="X7">
        <f>IF(B7="","",_xlfn.SINGLE(_xll.BDP(A7&amp;" AB Equity","MOV_AVG_200D")))</f>
        <v>33.428100000000001</v>
      </c>
    </row>
    <row r="8" spans="1:28" x14ac:dyDescent="0.25">
      <c r="A8" t="s">
        <v>25</v>
      </c>
      <c r="B8">
        <f>_xll.BDP(A8&amp;" AB Equity","LAST_PRICE")</f>
        <v>20.74</v>
      </c>
      <c r="C8">
        <f>_xll.BDP(A8&amp;" AB Equity","LAST_PRICE")</f>
        <v>20.74</v>
      </c>
      <c r="D8">
        <f>_xll.BDP(A8&amp;" AB Equity","RT_PX_CHG_PCT_1D")</f>
        <v>-1.8920999765396118</v>
      </c>
      <c r="E8">
        <f>_xll.BDP(A8&amp;" AB Equity","CHG_PCT_1M_RT")</f>
        <v>-2.5834000000000001</v>
      </c>
      <c r="F8">
        <f>_xll.BDP(A8&amp;" AB Equity","CHG_PCT_YTD_RT")</f>
        <v>-4.0702999999999996</v>
      </c>
      <c r="G8">
        <f>_xll.BDP(A8&amp;" AB Equity","YEST_LAST_TRADE")</f>
        <v>21.14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2202203</v>
      </c>
      <c r="K8">
        <f>_xll.BDP(A8&amp;" AB Equity","OPEN")</f>
        <v>21.14</v>
      </c>
      <c r="L8">
        <f>_xll.BDP(A8&amp;" AB Equity","LOW")</f>
        <v>20.74</v>
      </c>
      <c r="M8">
        <f>_xll.BDP(A8&amp;" AB Equity","HIGH")</f>
        <v>21.18</v>
      </c>
      <c r="N8">
        <f>_xll.BDP(A8&amp;" AB Equity","VWAP")</f>
        <v>20.8367</v>
      </c>
      <c r="O8" t="str">
        <f>_xll.BDP(A8&amp;" AB Equity","SAUDI_ARABIA_EXCHANGE_ID")</f>
        <v>1080</v>
      </c>
      <c r="P8">
        <f>_xll.BDP(A8&amp;" AB Equity","VOLUME_AVG_30D")</f>
        <v>1569514</v>
      </c>
      <c r="Q8">
        <f>_xll.BDP(A8&amp;" AB Equity","BID")</f>
        <v>20.74</v>
      </c>
      <c r="R8">
        <f>_xll.BDP(A8&amp;" AB Equity","ASK")</f>
        <v>20.95</v>
      </c>
      <c r="S8">
        <f>_xll.BDP(A8&amp;" AB Equity","CHG_PCT_MOV_AVG_200D")</f>
        <v>-5.1899179999999996</v>
      </c>
      <c r="T8">
        <f>_xll.BDP(A8&amp;" AB Equity","HIGH_30D")</f>
        <v>21.97</v>
      </c>
      <c r="U8">
        <f>_xll.BDP(A8&amp;" AB Equity","LOW_30D")</f>
        <v>20.66</v>
      </c>
      <c r="V8" s="11" t="str" cm="1">
        <f t="array" aca="1" ref="V8" ca="1">_xll.BDH(A8&amp;" AB Equity","MOV_AVG_200D",TODAY()-32,TODAY()-32,"Days=T")</f>
        <v>#N/A N/A</v>
      </c>
      <c r="W8">
        <v>22.194900000000001</v>
      </c>
      <c r="X8">
        <f>IF(B8="","",_xlfn.SINGLE(_xll.BDP(A8&amp;" AB Equity","MOV_AVG_200D")))</f>
        <v>22.117899999999999</v>
      </c>
    </row>
    <row r="9" spans="1:28" x14ac:dyDescent="0.25">
      <c r="A9" t="s">
        <v>26</v>
      </c>
      <c r="B9">
        <f>_xll.BDP(A9&amp;" AB Equity","LAST_PRICE")</f>
        <v>19.91</v>
      </c>
      <c r="C9">
        <f>_xll.BDP(A9&amp;" AB Equity","LAST_PRICE")</f>
        <v>19.91</v>
      </c>
      <c r="D9">
        <f>_xll.BDP(A9&amp;" AB Equity","RT_PX_CHG_PCT_1D")</f>
        <v>-0.79720002412796021</v>
      </c>
      <c r="E9">
        <f>_xll.BDP(A9&amp;" AB Equity","CHG_PCT_1M_RT")</f>
        <v>-2.4498000000000002</v>
      </c>
      <c r="F9">
        <f>_xll.BDP(A9&amp;" AB Equity","CHG_PCT_YTD_RT")</f>
        <v>-2.1861999999999999</v>
      </c>
      <c r="G9">
        <f>_xll.BDP(A9&amp;" AB Equity","YEST_LAST_TRADE")</f>
        <v>20.07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6448550</v>
      </c>
      <c r="K9">
        <f>_xll.BDP(A9&amp;" AB Equity","OPEN")</f>
        <v>20.04</v>
      </c>
      <c r="L9">
        <f>_xll.BDP(A9&amp;" AB Equity","LOW")</f>
        <v>19.91</v>
      </c>
      <c r="M9">
        <f>_xll.BDP(A9&amp;" AB Equity","HIGH")</f>
        <v>20.2</v>
      </c>
      <c r="N9">
        <f>_xll.BDP(A9&amp;" AB Equity","VWAP")</f>
        <v>20.009499999999999</v>
      </c>
      <c r="O9" t="str">
        <f>_xll.BDP(A9&amp;" AB Equity","SAUDI_ARABIA_EXCHANGE_ID")</f>
        <v>1010</v>
      </c>
      <c r="P9">
        <f>_xll.BDP(A9&amp;" AB Equity","VOLUME_AVG_30D")</f>
        <v>2878568</v>
      </c>
      <c r="Q9">
        <f>_xll.BDP(A9&amp;" AB Equity","BID")</f>
        <v>19.91</v>
      </c>
      <c r="R9">
        <f>_xll.BDP(A9&amp;" AB Equity","ASK")</f>
        <v>19.98</v>
      </c>
      <c r="S9">
        <f>_xll.BDP(A9&amp;" AB Equity","CHG_PCT_MOV_AVG_200D")</f>
        <v>-1.644352</v>
      </c>
      <c r="T9">
        <f>_xll.BDP(A9&amp;" AB Equity","HIGH_30D")</f>
        <v>21.48</v>
      </c>
      <c r="U9">
        <f>_xll.BDP(A9&amp;" AB Equity","LOW_30D")</f>
        <v>19.899999999999999</v>
      </c>
      <c r="V9" s="11" t="str" cm="1">
        <f t="array" aca="1" ref="V9" ca="1">_xll.BDH(A9&amp;" AB Equity","MOV_AVG_200D",TODAY()-32,TODAY()-32,"Days=T")</f>
        <v>#N/A N/A</v>
      </c>
      <c r="W9">
        <v>22.200399999999998</v>
      </c>
      <c r="X9">
        <f>IF(B9="","",_xlfn.SINGLE(_xll.BDP(A9&amp;" AB Equity","MOV_AVG_200D")))</f>
        <v>20.517379999999999</v>
      </c>
    </row>
    <row r="10" spans="1:28" x14ac:dyDescent="0.25">
      <c r="A10" t="s">
        <v>27</v>
      </c>
      <c r="B10">
        <f>_xll.BDP(A10&amp;" AB Equity","LAST_PRICE")</f>
        <v>19.399999999999999</v>
      </c>
      <c r="C10">
        <f>_xll.BDP(A10&amp;" AB Equity","LAST_PRICE")</f>
        <v>19.399999999999999</v>
      </c>
      <c r="D10">
        <f>_xll.BDP(A10&amp;" AB Equity","RT_PX_CHG_PCT_1D")</f>
        <v>0.67460000514984131</v>
      </c>
      <c r="E10">
        <f>_xll.BDP(A10&amp;" AB Equity","CHG_PCT_1M_RT")</f>
        <v>2.1053000000000002</v>
      </c>
      <c r="F10">
        <f>_xll.BDP(A10&amp;" AB Equity","CHG_PCT_YTD_RT")</f>
        <v>15.338900000000001</v>
      </c>
      <c r="G10">
        <f>_xll.BDP(A10&amp;" AB Equity","YEST_LAST_TRADE")</f>
        <v>19.27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4296340</v>
      </c>
      <c r="K10">
        <f>_xll.BDP(A10&amp;" AB Equity","OPEN")</f>
        <v>19.2</v>
      </c>
      <c r="L10">
        <f>_xll.BDP(A10&amp;" AB Equity","LOW")</f>
        <v>19.05</v>
      </c>
      <c r="M10">
        <f>_xll.BDP(A10&amp;" AB Equity","HIGH")</f>
        <v>19.440000000000001</v>
      </c>
      <c r="N10">
        <f>_xll.BDP(A10&amp;" AB Equity","VWAP")</f>
        <v>19.316299999999998</v>
      </c>
      <c r="O10" t="str">
        <f>_xll.BDP(A10&amp;" AB Equity","SAUDI_ARABIA_EXCHANGE_ID")</f>
        <v>1050</v>
      </c>
      <c r="P10">
        <f>_xll.BDP(A10&amp;" AB Equity","VOLUME_AVG_30D")</f>
        <v>1972802</v>
      </c>
      <c r="Q10">
        <f>_xll.BDP(A10&amp;" AB Equity","BID")</f>
        <v>19.18</v>
      </c>
      <c r="R10">
        <f>_xll.BDP(A10&amp;" AB Equity","ASK")</f>
        <v>19.399999999999999</v>
      </c>
      <c r="S10">
        <f>_xll.BDP(A10&amp;" AB Equity","CHG_PCT_MOV_AVG_200D")</f>
        <v>5.3699260000000004</v>
      </c>
      <c r="T10">
        <f>_xll.BDP(A10&amp;" AB Equity","HIGH_30D")</f>
        <v>20.149999999999999</v>
      </c>
      <c r="U10">
        <f>_xll.BDP(A10&amp;" AB Equity","LOW_30D")</f>
        <v>18.61</v>
      </c>
      <c r="V10" s="11" t="str" cm="1">
        <f t="array" aca="1" ref="V10" ca="1">_xll.BDH(A10&amp;" AB Equity","MOV_AVG_200D",TODAY()-32,TODAY()-32,"Days=T")</f>
        <v>#N/A N/A</v>
      </c>
      <c r="W10">
        <v>22.2026</v>
      </c>
      <c r="X10">
        <f>IF(B10="","",_xlfn.SINGLE(_xll.BDP(A10&amp;" AB Equity","MOV_AVG_200D")))</f>
        <v>18.287949999999999</v>
      </c>
    </row>
    <row r="11" spans="1:28" x14ac:dyDescent="0.25">
      <c r="A11" t="s">
        <v>28</v>
      </c>
      <c r="B11">
        <f>_xll.BDP(A11&amp;" AB Equity","LAST_PRICE")</f>
        <v>13.42</v>
      </c>
      <c r="C11">
        <f>_xll.BDP(A11&amp;" AB Equity","LAST_PRICE")</f>
        <v>13.42</v>
      </c>
      <c r="D11">
        <f>_xll.BDP(A11&amp;" AB Equity","RT_PX_CHG_PCT_1D")</f>
        <v>1.8983000516891479</v>
      </c>
      <c r="E11">
        <f>_xll.BDP(A11&amp;" AB Equity","CHG_PCT_1M_RT")</f>
        <v>0.52429999999999999</v>
      </c>
      <c r="F11">
        <f>_xll.BDP(A11&amp;" AB Equity","CHG_PCT_YTD_RT")</f>
        <v>2.2086999999999999</v>
      </c>
      <c r="G11">
        <f>_xll.BDP(A11&amp;" AB Equity","YEST_LAST_TRADE")</f>
        <v>13.17</v>
      </c>
      <c r="H11">
        <f>_xll.BDP(A11&amp;" AB Equity","HIGH_52WEEK")</f>
        <v>14.81</v>
      </c>
      <c r="I11">
        <f>_xll.BDP(A11&amp;" AB Equity","LOW_52WEEK")</f>
        <v>12.26</v>
      </c>
      <c r="J11">
        <f>_xll.BDP(A11&amp;" AB Equity","VOLUME")</f>
        <v>1285796</v>
      </c>
      <c r="K11">
        <f>_xll.BDP(A11&amp;" AB Equity","OPEN")</f>
        <v>13.2</v>
      </c>
      <c r="L11">
        <f>_xll.BDP(A11&amp;" AB Equity","LOW")</f>
        <v>13.17</v>
      </c>
      <c r="M11">
        <f>_xll.BDP(A11&amp;" AB Equity","HIGH")</f>
        <v>13.42</v>
      </c>
      <c r="N11">
        <f>_xll.BDP(A11&amp;" AB Equity","VWAP")</f>
        <v>13.360300000000001</v>
      </c>
      <c r="O11" t="str">
        <f>_xll.BDP(A11&amp;" AB Equity","SAUDI_ARABIA_EXCHANGE_ID")</f>
        <v>1030</v>
      </c>
      <c r="P11">
        <f>_xll.BDP(A11&amp;" AB Equity","VOLUME_AVG_30D")</f>
        <v>624933.9</v>
      </c>
      <c r="Q11">
        <f>_xll.BDP(A11&amp;" AB Equity","BID")</f>
        <v>13.22</v>
      </c>
      <c r="R11">
        <f>_xll.BDP(A11&amp;" AB Equity","ASK")</f>
        <v>13.42</v>
      </c>
      <c r="S11">
        <f>_xll.BDP(A11&amp;" AB Equity","CHG_PCT_MOV_AVG_200D")</f>
        <v>-1.11304</v>
      </c>
      <c r="T11">
        <f>_xll.BDP(A11&amp;" AB Equity","HIGH_30D")</f>
        <v>13.73</v>
      </c>
      <c r="U11">
        <f>_xll.BDP(A11&amp;" AB Equity","LOW_30D")</f>
        <v>13.05</v>
      </c>
      <c r="V11" s="11" t="str" cm="1">
        <f t="array" aca="1" ref="V11" ca="1">_xll.BDH(A11&amp;" AB Equity","MOV_AVG_200D",TODAY()-32,TODAY()-32,"Days=T")</f>
        <v>#N/A N/A</v>
      </c>
      <c r="W11">
        <v>22.205100000000002</v>
      </c>
      <c r="X11">
        <f>IF(B11="","",_xlfn.SINGLE(_xll.BDP(A11&amp;" AB Equity","MOV_AVG_200D")))</f>
        <v>13.40925</v>
      </c>
    </row>
    <row r="12" spans="1:28" x14ac:dyDescent="0.25">
      <c r="A12" t="s">
        <v>29</v>
      </c>
      <c r="B12">
        <f>_xll.BDP(A12&amp;" AB Equity","LAST_PRICE")</f>
        <v>65.900000000000006</v>
      </c>
      <c r="C12">
        <f>_xll.BDP(A12&amp;" AB Equity","LAST_PRICE")</f>
        <v>65.900000000000006</v>
      </c>
      <c r="D12">
        <f>_xll.BDP(A12&amp;" AB Equity","RT_PX_CHG_PCT_1D")</f>
        <v>0.15199999511241913</v>
      </c>
      <c r="E12">
        <f>_xll.BDP(A12&amp;" AB Equity","CHG_PCT_1M_RT")</f>
        <v>-2.0074000000000001</v>
      </c>
      <c r="F12">
        <f>_xll.BDP(A12&amp;" AB Equity","CHG_PCT_YTD_RT")</f>
        <v>1.3846000000000001</v>
      </c>
      <c r="G12">
        <f>_xll.BDP(A12&amp;" AB Equity","YEST_LAST_TRADE")</f>
        <v>65.8</v>
      </c>
      <c r="H12">
        <f>_xll.BDP(A12&amp;" AB Equity","HIGH_52WEEK")</f>
        <v>75.332999999999998</v>
      </c>
      <c r="I12">
        <f>_xll.BDP(A12&amp;" AB Equity","LOW_52WEEK")</f>
        <v>60.1</v>
      </c>
      <c r="J12">
        <f>_xll.BDP(A12&amp;" AB Equity","VOLUME")</f>
        <v>5571691</v>
      </c>
      <c r="K12">
        <f>_xll.BDP(A12&amp;" AB Equity","OPEN")</f>
        <v>65.8</v>
      </c>
      <c r="L12">
        <f>_xll.BDP(A12&amp;" AB Equity","LOW")</f>
        <v>65.599999999999994</v>
      </c>
      <c r="M12">
        <f>_xll.BDP(A12&amp;" AB Equity","HIGH")</f>
        <v>66.150000000000006</v>
      </c>
      <c r="N12">
        <f>_xll.BDP(A12&amp;" AB Equity","VWAP")</f>
        <v>65.886499999999998</v>
      </c>
      <c r="O12" t="str">
        <f>_xll.BDP(A12&amp;" AB Equity","SAUDI_ARABIA_EXCHANGE_ID")</f>
        <v>1120</v>
      </c>
      <c r="P12">
        <f>_xll.BDP(A12&amp;" AB Equity","VOLUME_AVG_30D")</f>
        <v>6476824</v>
      </c>
      <c r="Q12">
        <f>_xll.BDP(A12&amp;" AB Equity","BID")</f>
        <v>65.900000000000006</v>
      </c>
      <c r="R12">
        <f>_xll.BDP(A12&amp;" AB Equity","ASK")</f>
        <v>66</v>
      </c>
      <c r="S12">
        <f>_xll.BDP(A12&amp;" AB Equity","CHG_PCT_MOV_AVG_200D")</f>
        <v>-3.183144</v>
      </c>
      <c r="T12">
        <f>_xll.BDP(A12&amp;" AB Equity","HIGH_30D")</f>
        <v>68</v>
      </c>
      <c r="U12">
        <f>_xll.BDP(A12&amp;" AB Equity","LOW_30D")</f>
        <v>65.599999999999994</v>
      </c>
      <c r="V12" s="11" t="str" cm="1">
        <f t="array" aca="1" ref="V12" ca="1">_xll.BDH(A12&amp;" AB Equity","MOV_AVG_200D",TODAY()-32,TODAY()-32,"Days=T")</f>
        <v>#N/A N/A</v>
      </c>
      <c r="W12">
        <v>22.2074</v>
      </c>
      <c r="X12">
        <f>IF(B12="","",_xlfn.SINGLE(_xll.BDP(A12&amp;" AB Equity","MOV_AVG_200D")))</f>
        <v>67.860079999999996</v>
      </c>
    </row>
    <row r="13" spans="1:28" x14ac:dyDescent="0.25">
      <c r="A13" t="s">
        <v>30</v>
      </c>
      <c r="B13">
        <f>_xll.BDP(A13&amp;" AB Equity","LAST_PRICE")</f>
        <v>38.659999999999997</v>
      </c>
      <c r="C13">
        <f>_xll.BDP(A13&amp;" AB Equity","LAST_PRICE")</f>
        <v>38.659999999999997</v>
      </c>
      <c r="D13">
        <f>_xll.BDP(A13&amp;" AB Equity","RT_PX_CHG_PCT_1D")</f>
        <v>0.10360000282526016</v>
      </c>
      <c r="E13">
        <f>_xll.BDP(A13&amp;" AB Equity","CHG_PCT_1M_RT")</f>
        <v>-2.1265999999999998</v>
      </c>
      <c r="F13">
        <f>_xll.BDP(A13&amp;" AB Equity","CHG_PCT_YTD_RT")</f>
        <v>2.0590999999999999</v>
      </c>
      <c r="G13">
        <f>_xll.BDP(A13&amp;" AB Equity","YEST_LAST_TRADE")</f>
        <v>38.619999999999997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12321805</v>
      </c>
      <c r="K13">
        <f>_xll.BDP(A13&amp;" AB Equity","OPEN")</f>
        <v>38.6</v>
      </c>
      <c r="L13">
        <f>_xll.BDP(A13&amp;" AB Equity","LOW")</f>
        <v>38.42</v>
      </c>
      <c r="M13">
        <f>_xll.BDP(A13&amp;" AB Equity","HIGH")</f>
        <v>39.08</v>
      </c>
      <c r="N13">
        <f>_xll.BDP(A13&amp;" AB Equity","VWAP")</f>
        <v>38.6965</v>
      </c>
      <c r="O13" t="str">
        <f>_xll.BDP(A13&amp;" AB Equity","SAUDI_ARABIA_EXCHANGE_ID")</f>
        <v>1180</v>
      </c>
      <c r="P13">
        <f>_xll.BDP(A13&amp;" AB Equity","VOLUME_AVG_30D")</f>
        <v>4537857</v>
      </c>
      <c r="Q13">
        <f>_xll.BDP(A13&amp;" AB Equity","BID")</f>
        <v>38.659999999999997</v>
      </c>
      <c r="R13">
        <f>_xll.BDP(A13&amp;" AB Equity","ASK")</f>
        <v>38.86</v>
      </c>
      <c r="S13">
        <f>_xll.BDP(A13&amp;" AB Equity","CHG_PCT_MOV_AVG_200D")</f>
        <v>-2.5044010000000001</v>
      </c>
      <c r="T13">
        <f>_xll.BDP(A13&amp;" AB Equity","HIGH_30D")</f>
        <v>41.88</v>
      </c>
      <c r="U13">
        <f>_xll.BDP(A13&amp;" AB Equity","LOW_30D")</f>
        <v>38.26</v>
      </c>
      <c r="V13" s="11" t="str" cm="1">
        <f t="array" aca="1" ref="V13" ca="1">_xll.BDH(A13&amp;" AB Equity","MOV_AVG_200D",TODAY()-32,TODAY()-32,"Days=T")</f>
        <v>#N/A N/A</v>
      </c>
      <c r="W13">
        <v>22.21</v>
      </c>
      <c r="X13">
        <f>IF(B13="","",_xlfn.SINGLE(_xll.BDP(A13&amp;" AB Equity","MOV_AVG_200D")))</f>
        <v>39.694099999999999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64.7</v>
      </c>
      <c r="C15">
        <f>_xll.BDP(A15&amp;" AB Equity","LAST_PRICE")</f>
        <v>64.7</v>
      </c>
      <c r="D15">
        <f>_xll.BDP(A15&amp;" AB Equity","RT_PX_CHG_PCT_1D")</f>
        <v>-3.7918000221252441</v>
      </c>
      <c r="E15">
        <f>_xll.BDP(A15&amp;" AB Equity","CHG_PCT_1M_RT")</f>
        <v>-0.76690000000000003</v>
      </c>
      <c r="F15">
        <f>_xll.BDP(A15&amp;" AB Equity","CHG_PCT_YTD_RT")</f>
        <v>0.54390000000000005</v>
      </c>
      <c r="G15">
        <f>_xll.BDP(A15&amp;" AB Equity","YEST_LAST_TRADE")</f>
        <v>67.25</v>
      </c>
      <c r="H15">
        <f>_xll.BDP(A15&amp;" AB Equity","HIGH_52WEEK")</f>
        <v>74.599999999999994</v>
      </c>
      <c r="I15">
        <f>_xll.BDP(A15&amp;" AB Equity","LOW_52WEEK")</f>
        <v>53</v>
      </c>
      <c r="J15">
        <f>_xll.BDP(A15&amp;" AB Equity","VOLUME")</f>
        <v>881075</v>
      </c>
      <c r="K15">
        <f>_xll.BDP(A15&amp;" AB Equity","OPEN")</f>
        <v>67.25</v>
      </c>
      <c r="L15">
        <f>_xll.BDP(A15&amp;" AB Equity","LOW")</f>
        <v>64.2</v>
      </c>
      <c r="M15">
        <f>_xll.BDP(A15&amp;" AB Equity","HIGH")</f>
        <v>67.25</v>
      </c>
      <c r="N15">
        <f>_xll.BDP(A15&amp;" AB Equity","VWAP")</f>
        <v>65.211699999999993</v>
      </c>
      <c r="O15" t="str">
        <f>_xll.BDP(A15&amp;" AB Equity","SAUDI_ARABIA_EXCHANGE_ID")</f>
        <v>2320</v>
      </c>
      <c r="P15">
        <f>_xll.BDP(A15&amp;" AB Equity","VOLUME_AVG_30D")</f>
        <v>375848.4</v>
      </c>
      <c r="Q15">
        <f>_xll.BDP(A15&amp;" AB Equity","BID")</f>
        <v>64.7</v>
      </c>
      <c r="R15">
        <f>_xll.BDP(A15&amp;" AB Equity","ASK")</f>
        <v>64.849999999999994</v>
      </c>
      <c r="S15">
        <f>_xll.BDP(A15&amp;" AB Equity","CHG_PCT_MOV_AVG_200D")</f>
        <v>0.47898230000000003</v>
      </c>
      <c r="T15">
        <f>_xll.BDP(A15&amp;" AB Equity","HIGH_30D")</f>
        <v>74.599999999999994</v>
      </c>
      <c r="U15">
        <f>_xll.BDP(A15&amp;" AB Equity","LOW_30D")</f>
        <v>63.5</v>
      </c>
      <c r="V15" s="11" t="str" cm="1">
        <f t="array" aca="1" ref="V15" ca="1">_xll.BDH(A15&amp;" AB Equity","MOV_AVG_200D",TODAY()-32,TODAY()-32,"Days=T")</f>
        <v>#N/A N/A</v>
      </c>
      <c r="W15">
        <v>66.721999999999994</v>
      </c>
      <c r="X15">
        <f>IF(B15="","",_xlfn.SINGLE(_xll.BDP(A15&amp;" AB Equity","MOV_AVG_200D")))</f>
        <v>65.138000000000005</v>
      </c>
    </row>
    <row r="16" spans="1:28" x14ac:dyDescent="0.25">
      <c r="A16" t="s">
        <v>32</v>
      </c>
      <c r="B16">
        <f>_xll.BDP(A16&amp;" AB Equity","LAST_PRICE")</f>
        <v>14.43</v>
      </c>
      <c r="C16">
        <f>_xll.BDP(A16&amp;" AB Equity","LAST_PRICE")</f>
        <v>14.43</v>
      </c>
      <c r="D16">
        <f>_xll.BDP(A16&amp;" AB Equity","RT_PX_CHG_PCT_1D")</f>
        <v>-1.8366999626159668</v>
      </c>
      <c r="E16">
        <f>_xll.BDP(A16&amp;" AB Equity","CHG_PCT_1M_RT")</f>
        <v>-13.333299999999999</v>
      </c>
      <c r="F16">
        <f>_xll.BDP(A16&amp;" AB Equity","CHG_PCT_YTD_RT")</f>
        <v>30.6828</v>
      </c>
      <c r="G16">
        <f>_xll.BDP(A16&amp;" AB Equity","YEST_LAST_TRADE")</f>
        <v>14.7</v>
      </c>
      <c r="H16">
        <f>_xll.BDP(A16&amp;" AB Equity","HIGH_52WEEK")</f>
        <v>19.62</v>
      </c>
      <c r="I16">
        <f>_xll.BDP(A16&amp;" AB Equity","LOW_52WEEK")</f>
        <v>8.0850000000000009</v>
      </c>
      <c r="J16">
        <f>_xll.BDP(A16&amp;" AB Equity","VOLUME")</f>
        <v>10042157</v>
      </c>
      <c r="K16">
        <f>_xll.BDP(A16&amp;" AB Equity","OPEN")</f>
        <v>14.4</v>
      </c>
      <c r="L16">
        <f>_xll.BDP(A16&amp;" AB Equity","LOW")</f>
        <v>13.57</v>
      </c>
      <c r="M16">
        <f>_xll.BDP(A16&amp;" AB Equity","HIGH")</f>
        <v>14.58</v>
      </c>
      <c r="N16">
        <f>_xll.BDP(A16&amp;" AB Equity","VWAP")</f>
        <v>14.0755</v>
      </c>
      <c r="O16" t="str">
        <f>_xll.BDP(A16&amp;" AB Equity","SAUDI_ARABIA_EXCHANGE_ID")</f>
        <v>1303</v>
      </c>
      <c r="P16">
        <f>_xll.BDP(A16&amp;" AB Equity","VOLUME_AVG_30D")</f>
        <v>3004093</v>
      </c>
      <c r="Q16">
        <f>_xll.BDP(A16&amp;" AB Equity","BID")</f>
        <v>14.43</v>
      </c>
      <c r="R16">
        <f>_xll.BDP(A16&amp;" AB Equity","ASK")</f>
        <v>14.45</v>
      </c>
      <c r="S16">
        <f>_xll.BDP(A16&amp;" AB Equity","CHG_PCT_MOV_AVG_200D")</f>
        <v>5.0802120000000004</v>
      </c>
      <c r="T16">
        <f>_xll.BDP(A16&amp;" AB Equity","HIGH_30D")</f>
        <v>16.96</v>
      </c>
      <c r="U16">
        <f>_xll.BDP(A16&amp;" AB Equity","LOW_30D")</f>
        <v>14.3</v>
      </c>
      <c r="V16" s="11" t="str" cm="1">
        <f t="array" aca="1" ref="V16" ca="1">_xll.BDH(A16&amp;" AB Equity","MOV_AVG_200D",TODAY()-32,TODAY()-32,"Days=T")</f>
        <v>#N/A N/A</v>
      </c>
      <c r="W16">
        <v>11.362299999999999</v>
      </c>
      <c r="X16">
        <f>IF(B16="","",_xlfn.SINGLE(_xll.BDP(A16&amp;" AB Equity","MOV_AVG_200D")))</f>
        <v>13.32316</v>
      </c>
    </row>
    <row r="17" spans="1:24" x14ac:dyDescent="0.25">
      <c r="A17" t="s">
        <v>33</v>
      </c>
      <c r="B17">
        <f>_xll.BDP(A17&amp;" AB Equity","LAST_PRICE")</f>
        <v>14.25</v>
      </c>
      <c r="C17">
        <f>_xll.BDP(A17&amp;" AB Equity","LAST_PRICE")</f>
        <v>14.25</v>
      </c>
      <c r="D17">
        <f>_xll.BDP(A17&amp;" AB Equity","RT_PX_CHG_PCT_1D")</f>
        <v>0.70670002698898315</v>
      </c>
      <c r="E17">
        <f>_xll.BDP(A17&amp;" AB Equity","CHG_PCT_1M_RT")</f>
        <v>4.3956</v>
      </c>
      <c r="F17">
        <f>_xll.BDP(A17&amp;" AB Equity","CHG_PCT_YTD_RT")</f>
        <v>-9.4087999999999994</v>
      </c>
      <c r="G17">
        <f>_xll.BDP(A17&amp;" AB Equity","YEST_LAST_TRADE")</f>
        <v>14.15</v>
      </c>
      <c r="H17">
        <f>_xll.BDP(A17&amp;" AB Equity","HIGH_52WEEK")</f>
        <v>23.6</v>
      </c>
      <c r="I17">
        <f>_xll.BDP(A17&amp;" AB Equity","LOW_52WEEK")</f>
        <v>12.01</v>
      </c>
      <c r="J17">
        <f>_xll.BDP(A17&amp;" AB Equity","VOLUME")</f>
        <v>896584</v>
      </c>
      <c r="K17">
        <f>_xll.BDP(A17&amp;" AB Equity","OPEN")</f>
        <v>14.21</v>
      </c>
      <c r="L17">
        <f>_xll.BDP(A17&amp;" AB Equity","LOW")</f>
        <v>14.09</v>
      </c>
      <c r="M17">
        <f>_xll.BDP(A17&amp;" AB Equity","HIGH")</f>
        <v>14.45</v>
      </c>
      <c r="N17">
        <f>_xll.BDP(A17&amp;" AB Equity","VWAP")</f>
        <v>14.306100000000001</v>
      </c>
      <c r="O17" t="str">
        <f>_xll.BDP(A17&amp;" AB Equity","SAUDI_ARABIA_EXCHANGE_ID")</f>
        <v>2160</v>
      </c>
      <c r="P17">
        <f>_xll.BDP(A17&amp;" AB Equity","VOLUME_AVG_30D")</f>
        <v>373520.5</v>
      </c>
      <c r="Q17">
        <f>_xll.BDP(A17&amp;" AB Equity","BID")</f>
        <v>14.25</v>
      </c>
      <c r="R17">
        <f>_xll.BDP(A17&amp;" AB Equity","ASK")</f>
        <v>14.26</v>
      </c>
      <c r="S17">
        <f>_xll.BDP(A17&amp;" AB Equity","CHG_PCT_MOV_AVG_200D")</f>
        <v>-12.974880000000001</v>
      </c>
      <c r="T17">
        <f>_xll.BDP(A17&amp;" AB Equity","HIGH_30D")</f>
        <v>14.3</v>
      </c>
      <c r="U17">
        <f>_xll.BDP(A17&amp;" AB Equity","LOW_30D")</f>
        <v>13.2</v>
      </c>
      <c r="V17" s="11" t="str" cm="1">
        <f t="array" aca="1" ref="V17" ca="1">_xll.BDH(A17&amp;" AB Equity","MOV_AVG_200D",TODAY()-32,TODAY()-32,"Days=T")</f>
        <v>#N/A N/A</v>
      </c>
      <c r="W17">
        <v>11.4085</v>
      </c>
      <c r="X17">
        <f>IF(B17="","",_xlfn.SINGLE(_xll.BDP(A17&amp;" AB Equity","MOV_AVG_200D")))</f>
        <v>16.351600000000001</v>
      </c>
    </row>
    <row r="18" spans="1:24" x14ac:dyDescent="0.25">
      <c r="A18" t="s">
        <v>34</v>
      </c>
      <c r="B18">
        <f>_xll.BDP(A18&amp;" AB Equity","LAST_PRICE")</f>
        <v>13.91</v>
      </c>
      <c r="C18">
        <f>_xll.BDP(A18&amp;" AB Equity","LAST_PRICE")</f>
        <v>13.91</v>
      </c>
      <c r="D18">
        <f>_xll.BDP(A18&amp;" AB Equity","RT_PX_CHG_PCT_1D")</f>
        <v>2.279400110244751</v>
      </c>
      <c r="E18">
        <f>_xll.BDP(A18&amp;" AB Equity","CHG_PCT_1M_RT")</f>
        <v>-5.6948999999999996</v>
      </c>
      <c r="F18">
        <f>_xll.BDP(A18&amp;" AB Equity","CHG_PCT_YTD_RT")</f>
        <v>-21.558700000000002</v>
      </c>
      <c r="G18">
        <f>_xll.BDP(A18&amp;" AB Equity","YEST_LAST_TRADE")</f>
        <v>13.6</v>
      </c>
      <c r="H18">
        <f>_xll.BDP(A18&amp;" AB Equity","HIGH_52WEEK")</f>
        <v>24.817</v>
      </c>
      <c r="I18">
        <f>_xll.BDP(A18&amp;" AB Equity","LOW_52WEEK")</f>
        <v>13.34</v>
      </c>
      <c r="J18">
        <f>_xll.BDP(A18&amp;" AB Equity","VOLUME")</f>
        <v>610031</v>
      </c>
      <c r="K18">
        <f>_xll.BDP(A18&amp;" AB Equity","OPEN")</f>
        <v>13.6</v>
      </c>
      <c r="L18">
        <f>_xll.BDP(A18&amp;" AB Equity","LOW")</f>
        <v>13.55</v>
      </c>
      <c r="M18">
        <f>_xll.BDP(A18&amp;" AB Equity","HIGH")</f>
        <v>13.95</v>
      </c>
      <c r="N18">
        <f>_xll.BDP(A18&amp;" AB Equity","VWAP")</f>
        <v>13.808999999999999</v>
      </c>
      <c r="O18" t="str">
        <f>_xll.BDP(A18&amp;" AB Equity","SAUDI_ARABIA_EXCHANGE_ID")</f>
        <v>1214</v>
      </c>
      <c r="P18">
        <f>_xll.BDP(A18&amp;" AB Equity","VOLUME_AVG_30D")</f>
        <v>505941.1</v>
      </c>
      <c r="Q18">
        <f>_xll.BDP(A18&amp;" AB Equity","BID")</f>
        <v>13.88</v>
      </c>
      <c r="R18">
        <f>_xll.BDP(A18&amp;" AB Equity","ASK")</f>
        <v>13.91</v>
      </c>
      <c r="S18">
        <f>_xll.BDP(A18&amp;" AB Equity","CHG_PCT_MOV_AVG_200D")</f>
        <v>-23.477399999999999</v>
      </c>
      <c r="T18">
        <f>_xll.BDP(A18&amp;" AB Equity","HIGH_30D")</f>
        <v>15.24</v>
      </c>
      <c r="U18">
        <f>_xll.BDP(A18&amp;" AB Equity","LOW_30D")</f>
        <v>13.34</v>
      </c>
      <c r="V18" s="11" t="str" cm="1">
        <f t="array" aca="1" ref="V18" ca="1">_xll.BDH(A18&amp;" AB Equity","MOV_AVG_200D",TODAY()-32,TODAY()-32,"Days=T")</f>
        <v>#N/A N/A</v>
      </c>
      <c r="W18">
        <v>11.456200000000001</v>
      </c>
      <c r="X18">
        <f>IF(B18="","",_xlfn.SINGLE(_xll.BDP(A18&amp;" AB Equity","MOV_AVG_200D")))</f>
        <v>18.073090000000001</v>
      </c>
    </row>
    <row r="19" spans="1:24" x14ac:dyDescent="0.25">
      <c r="A19" t="s">
        <v>35</v>
      </c>
      <c r="B19">
        <f>_xll.BDP(A19&amp;" AB Equity","LAST_PRICE")</f>
        <v>71.349999999999994</v>
      </c>
      <c r="C19">
        <f>_xll.BDP(A19&amp;" AB Equity","LAST_PRICE")</f>
        <v>71.349999999999994</v>
      </c>
      <c r="D19">
        <f>_xll.BDP(A19&amp;" AB Equity","RT_PX_CHG_PCT_1D")</f>
        <v>3.1814999580383301</v>
      </c>
      <c r="E19">
        <f>_xll.BDP(A19&amp;" AB Equity","CHG_PCT_1M_RT")</f>
        <v>0.49299999999999999</v>
      </c>
      <c r="F19">
        <f>_xll.BDP(A19&amp;" AB Equity","CHG_PCT_YTD_RT")</f>
        <v>9.3486999999999991</v>
      </c>
      <c r="G19">
        <f>_xll.BDP(A19&amp;" AB Equity","YEST_LAST_TRADE")</f>
        <v>69.150000000000006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264556</v>
      </c>
      <c r="K19">
        <f>_xll.BDP(A19&amp;" AB Equity","OPEN")</f>
        <v>69.3</v>
      </c>
      <c r="L19">
        <f>_xll.BDP(A19&amp;" AB Equity","LOW")</f>
        <v>69</v>
      </c>
      <c r="M19">
        <f>_xll.BDP(A19&amp;" AB Equity","HIGH")</f>
        <v>75</v>
      </c>
      <c r="N19">
        <f>_xll.BDP(A19&amp;" AB Equity","VWAP")</f>
        <v>71.088899999999995</v>
      </c>
      <c r="O19" t="str">
        <f>_xll.BDP(A19&amp;" AB Equity","SAUDI_ARABIA_EXCHANGE_ID")</f>
        <v>4144</v>
      </c>
      <c r="P19">
        <f>_xll.BDP(A19&amp;" AB Equity","VOLUME_AVG_30D")</f>
        <v>50507.73</v>
      </c>
      <c r="Q19">
        <f>_xll.BDP(A19&amp;" AB Equity","BID")</f>
        <v>71.349999999999994</v>
      </c>
      <c r="R19">
        <f>_xll.BDP(A19&amp;" AB Equity","ASK")</f>
        <v>71.55</v>
      </c>
      <c r="S19">
        <f>_xll.BDP(A19&amp;" AB Equity","CHG_PCT_MOV_AVG_200D")</f>
        <v>10.743370000000001</v>
      </c>
      <c r="T19">
        <f>_xll.BDP(A19&amp;" AB Equity","HIGH_30D")</f>
        <v>72.25</v>
      </c>
      <c r="U19">
        <f>_xll.BDP(A19&amp;" AB Equity","LOW_30D")</f>
        <v>61.25</v>
      </c>
      <c r="V19" s="11" t="str" cm="1">
        <f t="array" aca="1" ref="V19" ca="1">_xll.BDH(A19&amp;" AB Equity","MOV_AVG_200D",TODAY()-32,TODAY()-32,"Days=T")</f>
        <v>#N/A N/A</v>
      </c>
      <c r="W19">
        <v>60.981999999999999</v>
      </c>
      <c r="X19">
        <f>IF(B19="","",_xlfn.SINGLE(_xll.BDP(A19&amp;" AB Equity","MOV_AVG_200D")))</f>
        <v>63.52525</v>
      </c>
    </row>
    <row r="20" spans="1:24" x14ac:dyDescent="0.25">
      <c r="A20" t="s">
        <v>36</v>
      </c>
      <c r="B20">
        <f>_xll.BDP(A20&amp;" AB Equity","LAST_PRICE")</f>
        <v>26.7</v>
      </c>
      <c r="C20">
        <f>_xll.BDP(A20&amp;" AB Equity","LAST_PRICE")</f>
        <v>26.7</v>
      </c>
      <c r="D20">
        <f>_xll.BDP(A20&amp;" AB Equity","RT_PX_CHG_PCT_1D")</f>
        <v>1.1363999843597412</v>
      </c>
      <c r="E20">
        <f>_xll.BDP(A20&amp;" AB Equity","CHG_PCT_1M_RT")</f>
        <v>-3.1907000000000001</v>
      </c>
      <c r="F20">
        <f>_xll.BDP(A20&amp;" AB Equity","CHG_PCT_YTD_RT")</f>
        <v>-1.9823999999999999</v>
      </c>
      <c r="G20">
        <f>_xll.BDP(A20&amp;" AB Equity","YEST_LAST_TRADE")</f>
        <v>26.4</v>
      </c>
      <c r="H20">
        <f>_xll.BDP(A20&amp;" AB Equity","HIGH_52WEEK")</f>
        <v>34.64</v>
      </c>
      <c r="I20">
        <f>_xll.BDP(A20&amp;" AB Equity","LOW_52WEEK")</f>
        <v>24.1</v>
      </c>
      <c r="J20">
        <f>_xll.BDP(A20&amp;" AB Equity","VOLUME")</f>
        <v>213713</v>
      </c>
      <c r="K20">
        <f>_xll.BDP(A20&amp;" AB Equity","OPEN")</f>
        <v>26.4</v>
      </c>
      <c r="L20">
        <f>_xll.BDP(A20&amp;" AB Equity","LOW")</f>
        <v>26.28</v>
      </c>
      <c r="M20">
        <f>_xll.BDP(A20&amp;" AB Equity","HIGH")</f>
        <v>26.82</v>
      </c>
      <c r="N20">
        <f>_xll.BDP(A20&amp;" AB Equity","VWAP")</f>
        <v>26.613800000000001</v>
      </c>
      <c r="O20" t="str">
        <f>_xll.BDP(A20&amp;" AB Equity","SAUDI_ARABIA_EXCHANGE_ID")</f>
        <v>2040</v>
      </c>
      <c r="P20">
        <f>_xll.BDP(A20&amp;" AB Equity","VOLUME_AVG_30D")</f>
        <v>240540</v>
      </c>
      <c r="Q20">
        <f>_xll.BDP(A20&amp;" AB Equity","BID")</f>
        <v>26.7</v>
      </c>
      <c r="R20">
        <f>_xll.BDP(A20&amp;" AB Equity","ASK")</f>
        <v>26.74</v>
      </c>
      <c r="S20">
        <f>_xll.BDP(A20&amp;" AB Equity","CHG_PCT_MOV_AVG_200D")</f>
        <v>-7.2073619999999998</v>
      </c>
      <c r="T20">
        <f>_xll.BDP(A20&amp;" AB Equity","HIGH_30D")</f>
        <v>30.26</v>
      </c>
      <c r="U20">
        <f>_xll.BDP(A20&amp;" AB Equity","LOW_30D")</f>
        <v>25.5</v>
      </c>
      <c r="V20" s="11" t="str" cm="1">
        <f t="array" aca="1" ref="V20" ca="1">_xll.BDH(A20&amp;" AB Equity","MOV_AVG_200D",TODAY()-32,TODAY()-32,"Days=T")</f>
        <v>#N/A N/A</v>
      </c>
      <c r="W20">
        <v>61.046300000000002</v>
      </c>
      <c r="X20">
        <f>IF(B20="","",_xlfn.SINGLE(_xll.BDP(A20&amp;" AB Equity","MOV_AVG_200D")))</f>
        <v>28.558299999999999</v>
      </c>
    </row>
    <row r="21" spans="1:24" x14ac:dyDescent="0.25">
      <c r="A21" t="s">
        <v>37</v>
      </c>
      <c r="B21">
        <f>_xll.BDP(A21&amp;" AB Equity","LAST_PRICE")</f>
        <v>30.48</v>
      </c>
      <c r="C21">
        <f>_xll.BDP(A21&amp;" AB Equity","LAST_PRICE")</f>
        <v>30.48</v>
      </c>
      <c r="D21">
        <f>_xll.BDP(A21&amp;" AB Equity","RT_PX_CHG_PCT_1D")</f>
        <v>-0.71660000085830688</v>
      </c>
      <c r="E21">
        <f>_xll.BDP(A21&amp;" AB Equity","CHG_PCT_1M_RT")</f>
        <v>-8.5783000000000005</v>
      </c>
      <c r="F21">
        <f>_xll.BDP(A21&amp;" AB Equity","CHG_PCT_YTD_RT")</f>
        <v>43.300400000000003</v>
      </c>
      <c r="G21">
        <f>_xll.BDP(A21&amp;" AB Equity","YEST_LAST_TRADE")</f>
        <v>30.7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135224</v>
      </c>
      <c r="K21">
        <f>_xll.BDP(A21&amp;" AB Equity","OPEN")</f>
        <v>30.7</v>
      </c>
      <c r="L21">
        <f>_xll.BDP(A21&amp;" AB Equity","LOW")</f>
        <v>30.38</v>
      </c>
      <c r="M21">
        <f>_xll.BDP(A21&amp;" AB Equity","HIGH")</f>
        <v>30.8</v>
      </c>
      <c r="N21">
        <f>_xll.BDP(A21&amp;" AB Equity","VWAP")</f>
        <v>30.536200000000001</v>
      </c>
      <c r="O21" t="str">
        <f>_xll.BDP(A21&amp;" AB Equity","SAUDI_ARABIA_EXCHANGE_ID")</f>
        <v>2370</v>
      </c>
      <c r="P21">
        <f>_xll.BDP(A21&amp;" AB Equity","VOLUME_AVG_30D")</f>
        <v>291466.8</v>
      </c>
      <c r="Q21">
        <f>_xll.BDP(A21&amp;" AB Equity","BID")</f>
        <v>30.4</v>
      </c>
      <c r="R21">
        <f>_xll.BDP(A21&amp;" AB Equity","ASK")</f>
        <v>30.48</v>
      </c>
      <c r="S21">
        <f>_xll.BDP(A21&amp;" AB Equity","CHG_PCT_MOV_AVG_200D")</f>
        <v>13.910069999999999</v>
      </c>
      <c r="T21">
        <f>_xll.BDP(A21&amp;" AB Equity","HIGH_30D")</f>
        <v>34.72</v>
      </c>
      <c r="U21">
        <f>_xll.BDP(A21&amp;" AB Equity","LOW_30D")</f>
        <v>30.04</v>
      </c>
      <c r="V21" s="11" t="str" cm="1">
        <f t="array" aca="1" ref="V21" ca="1">_xll.BDH(A21&amp;" AB Equity","MOV_AVG_200D",TODAY()-32,TODAY()-32,"Days=T")</f>
        <v>#N/A N/A</v>
      </c>
      <c r="W21">
        <v>61.096499999999999</v>
      </c>
      <c r="X21">
        <f>IF(B21="","",_xlfn.SINGLE(_xll.BDP(A21&amp;" AB Equity","MOV_AVG_200D")))</f>
        <v>26.757950000000001</v>
      </c>
    </row>
    <row r="22" spans="1:24" x14ac:dyDescent="0.25">
      <c r="A22" t="s">
        <v>38</v>
      </c>
      <c r="B22">
        <f>_xll.BDP(A22&amp;" AB Equity","LAST_PRICE")</f>
        <v>40.299999999999997</v>
      </c>
      <c r="C22">
        <f>_xll.BDP(A22&amp;" AB Equity","LAST_PRICE")</f>
        <v>40.299999999999997</v>
      </c>
      <c r="D22">
        <f>_xll.BDP(A22&amp;" AB Equity","RT_PX_CHG_PCT_1D")</f>
        <v>0.85089999437332153</v>
      </c>
      <c r="E22">
        <f>_xll.BDP(A22&amp;" AB Equity","CHG_PCT_1M_RT")</f>
        <v>-7.1856</v>
      </c>
      <c r="F22">
        <f>_xll.BDP(A22&amp;" AB Equity","CHG_PCT_YTD_RT")</f>
        <v>-19.880700000000001</v>
      </c>
      <c r="G22">
        <f>_xll.BDP(A22&amp;" AB Equity","YEST_LAST_TRADE")</f>
        <v>39.96</v>
      </c>
      <c r="H22">
        <f>_xll.BDP(A22&amp;" AB Equity","HIGH_52WEEK")</f>
        <v>61.85</v>
      </c>
      <c r="I22">
        <f>_xll.BDP(A22&amp;" AB Equity","LOW_52WEEK")</f>
        <v>39.119999999999997</v>
      </c>
      <c r="J22">
        <f>_xll.BDP(A22&amp;" AB Equity","VOLUME")</f>
        <v>164030</v>
      </c>
      <c r="K22">
        <f>_xll.BDP(A22&amp;" AB Equity","OPEN")</f>
        <v>39.96</v>
      </c>
      <c r="L22">
        <f>_xll.BDP(A22&amp;" AB Equity","LOW")</f>
        <v>39.619999999999997</v>
      </c>
      <c r="M22">
        <f>_xll.BDP(A22&amp;" AB Equity","HIGH")</f>
        <v>40.619999999999997</v>
      </c>
      <c r="N22">
        <f>_xll.BDP(A22&amp;" AB Equity","VWAP")</f>
        <v>40.314900000000002</v>
      </c>
      <c r="O22" t="str">
        <f>_xll.BDP(A22&amp;" AB Equity","SAUDI_ARABIA_EXCHANGE_ID")</f>
        <v>1302</v>
      </c>
      <c r="P22">
        <f>_xll.BDP(A22&amp;" AB Equity","VOLUME_AVG_30D")</f>
        <v>217438.6</v>
      </c>
      <c r="Q22">
        <f>_xll.BDP(A22&amp;" AB Equity","BID")</f>
        <v>40.22</v>
      </c>
      <c r="R22">
        <f>_xll.BDP(A22&amp;" AB Equity","ASK")</f>
        <v>40.299999999999997</v>
      </c>
      <c r="S22">
        <f>_xll.BDP(A22&amp;" AB Equity","CHG_PCT_MOV_AVG_200D")</f>
        <v>-16.59291</v>
      </c>
      <c r="T22">
        <f>_xll.BDP(A22&amp;" AB Equity","HIGH_30D")</f>
        <v>45.5</v>
      </c>
      <c r="U22">
        <f>_xll.BDP(A22&amp;" AB Equity","LOW_30D")</f>
        <v>39.119999999999997</v>
      </c>
      <c r="V22" s="11" t="str" cm="1">
        <f t="array" aca="1" ref="V22" ca="1">_xll.BDH(A22&amp;" AB Equity","MOV_AVG_200D",TODAY()-32,TODAY()-32,"Days=T")</f>
        <v>#N/A N/A</v>
      </c>
      <c r="W22">
        <v>51.932899999999997</v>
      </c>
      <c r="X22">
        <f>IF(B22="","",_xlfn.SINGLE(_xll.BDP(A22&amp;" AB Equity","MOV_AVG_200D")))</f>
        <v>48.581000000000003</v>
      </c>
    </row>
    <row r="23" spans="1:24" x14ac:dyDescent="0.25">
      <c r="A23" t="s">
        <v>39</v>
      </c>
      <c r="B23">
        <f>_xll.BDP(A23&amp;" AB Equity","LAST_PRICE")</f>
        <v>119.8</v>
      </c>
      <c r="C23">
        <f>_xll.BDP(A23&amp;" AB Equity","LAST_PRICE")</f>
        <v>119.8</v>
      </c>
      <c r="D23">
        <f>_xll.BDP(A23&amp;" AB Equity","RT_PX_CHG_PCT_1D")</f>
        <v>0.67229998111724854</v>
      </c>
      <c r="E23">
        <f>_xll.BDP(A23&amp;" AB Equity","CHG_PCT_1M_RT")</f>
        <v>4.0834000000000001</v>
      </c>
      <c r="F23">
        <f>_xll.BDP(A23&amp;" AB Equity","CHG_PCT_YTD_RT")</f>
        <v>-8.1991999999999994</v>
      </c>
      <c r="G23">
        <f>_xll.BDP(A23&amp;" AB Equity","YEST_LAST_TRADE")</f>
        <v>119</v>
      </c>
      <c r="H23">
        <f>_xll.BDP(A23&amp;" AB Equity","HIGH_52WEEK")</f>
        <v>147.69999999999999</v>
      </c>
      <c r="I23">
        <f>_xll.BDP(A23&amp;" AB Equity","LOW_52WEEK")</f>
        <v>106.1</v>
      </c>
      <c r="J23">
        <f>_xll.BDP(A23&amp;" AB Equity","VOLUME")</f>
        <v>134991</v>
      </c>
      <c r="K23">
        <f>_xll.BDP(A23&amp;" AB Equity","OPEN")</f>
        <v>119</v>
      </c>
      <c r="L23">
        <f>_xll.BDP(A23&amp;" AB Equity","LOW")</f>
        <v>117.4</v>
      </c>
      <c r="M23">
        <f>_xll.BDP(A23&amp;" AB Equity","HIGH")</f>
        <v>120.5</v>
      </c>
      <c r="N23">
        <f>_xll.BDP(A23&amp;" AB Equity","VWAP")</f>
        <v>118.72539999999999</v>
      </c>
      <c r="O23" t="str">
        <f>_xll.BDP(A23&amp;" AB Equity","SAUDI_ARABIA_EXCHANGE_ID")</f>
        <v>4142</v>
      </c>
      <c r="P23">
        <f>_xll.BDP(A23&amp;" AB Equity","VOLUME_AVG_30D")</f>
        <v>237446.5</v>
      </c>
      <c r="Q23">
        <f>_xll.BDP(A23&amp;" AB Equity","BID")</f>
        <v>119.8</v>
      </c>
      <c r="R23">
        <f>_xll.BDP(A23&amp;" AB Equity","ASK")</f>
        <v>120</v>
      </c>
      <c r="S23">
        <f>_xll.BDP(A23&amp;" AB Equity","CHG_PCT_MOV_AVG_200D")</f>
        <v>-6.2506209999999998</v>
      </c>
      <c r="T23">
        <f>_xll.BDP(A23&amp;" AB Equity","HIGH_30D")</f>
        <v>129.69999999999999</v>
      </c>
      <c r="U23">
        <f>_xll.BDP(A23&amp;" AB Equity","LOW_30D")</f>
        <v>112.7</v>
      </c>
      <c r="V23" s="11" t="str" cm="1">
        <f t="array" aca="1" ref="V23" ca="1">_xll.BDH(A23&amp;" AB Equity","MOV_AVG_200D",TODAY()-32,TODAY()-32,"Days=T")</f>
        <v>#N/A N/A</v>
      </c>
      <c r="W23">
        <v>129.2595</v>
      </c>
      <c r="X23">
        <f>IF(B23="","",_xlfn.SINGLE(_xll.BDP(A23&amp;" AB Equity","MOV_AVG_200D")))</f>
        <v>125.86750000000001</v>
      </c>
    </row>
    <row r="24" spans="1:24" x14ac:dyDescent="0.25">
      <c r="A24" t="s">
        <v>40</v>
      </c>
      <c r="B24">
        <f>_xll.BDP(A24&amp;" AB Equity","LAST_PRICE")</f>
        <v>25.4</v>
      </c>
      <c r="C24">
        <f>_xll.BDP(A24&amp;" AB Equity","LAST_PRICE")</f>
        <v>25.4</v>
      </c>
      <c r="D24">
        <f>_xll.BDP(A24&amp;" AB Equity","RT_PX_CHG_PCT_1D")</f>
        <v>0.71369999647140503</v>
      </c>
      <c r="E24">
        <f>_xll.BDP(A24&amp;" AB Equity","CHG_PCT_1M_RT")</f>
        <v>7.4904999999999999</v>
      </c>
      <c r="F24">
        <f>_xll.BDP(A24&amp;" AB Equity","CHG_PCT_YTD_RT")</f>
        <v>0.23680000000000001</v>
      </c>
      <c r="G24">
        <f>_xll.BDP(A24&amp;" AB Equity","YEST_LAST_TRADE")</f>
        <v>25.22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473139</v>
      </c>
      <c r="K24">
        <f>_xll.BDP(A24&amp;" AB Equity","OPEN")</f>
        <v>25.18</v>
      </c>
      <c r="L24">
        <f>_xll.BDP(A24&amp;" AB Equity","LOW")</f>
        <v>24.89</v>
      </c>
      <c r="M24">
        <f>_xll.BDP(A24&amp;" AB Equity","HIGH")</f>
        <v>25.96</v>
      </c>
      <c r="N24">
        <f>_xll.BDP(A24&amp;" AB Equity","VWAP")</f>
        <v>25.286200000000001</v>
      </c>
      <c r="O24" t="str">
        <f>_xll.BDP(A24&amp;" AB Equity","SAUDI_ARABIA_EXCHANGE_ID")</f>
        <v>4145</v>
      </c>
      <c r="P24">
        <f>_xll.BDP(A24&amp;" AB Equity","VOLUME_AVG_30D")</f>
        <v>150882.4</v>
      </c>
      <c r="Q24">
        <f>_xll.BDP(A24&amp;" AB Equity","BID")</f>
        <v>25.26</v>
      </c>
      <c r="R24">
        <f>_xll.BDP(A24&amp;" AB Equity","ASK")</f>
        <v>25.4</v>
      </c>
      <c r="S24">
        <f>_xll.BDP(A24&amp;" AB Equity","CHG_PCT_MOV_AVG_200D")</f>
        <v>-3.8492099999999998</v>
      </c>
      <c r="T24">
        <f>_xll.BDP(A24&amp;" AB Equity","HIGH_30D")</f>
        <v>25.5</v>
      </c>
      <c r="U24">
        <f>_xll.BDP(A24&amp;" AB Equity","LOW_30D")</f>
        <v>22.86</v>
      </c>
      <c r="V24" s="11" t="str" cm="1">
        <f t="array" aca="1" ref="V24" ca="1">_xll.BDH(A24&amp;" AB Equity","MOV_AVG_200D",TODAY()-32,TODAY()-32,"Days=T")</f>
        <v>#N/A N/A</v>
      </c>
      <c r="W24">
        <v>129.2045</v>
      </c>
      <c r="X24">
        <f>IF(B24="","",_xlfn.SINGLE(_xll.BDP(A24&amp;" AB Equity","MOV_AVG_200D")))</f>
        <v>26.728850000000001</v>
      </c>
    </row>
    <row r="25" spans="1:24" x14ac:dyDescent="0.25">
      <c r="A25" t="s">
        <v>41</v>
      </c>
      <c r="B25">
        <f>_xll.BDP(A25&amp;" AB Equity","LAST_PRICE")</f>
        <v>22.11</v>
      </c>
      <c r="C25">
        <f>_xll.BDP(A25&amp;" AB Equity","LAST_PRICE")</f>
        <v>22.11</v>
      </c>
      <c r="D25">
        <f>_xll.BDP(A25&amp;" AB Equity","RT_PX_CHG_PCT_1D")</f>
        <v>0.86680001020431519</v>
      </c>
      <c r="E25">
        <f>_xll.BDP(A25&amp;" AB Equity","CHG_PCT_1M_RT")</f>
        <v>8.1702999999999992</v>
      </c>
      <c r="F25">
        <f>_xll.BDP(A25&amp;" AB Equity","CHG_PCT_YTD_RT")</f>
        <v>-11.771699999999999</v>
      </c>
      <c r="G25">
        <f>_xll.BDP(A25&amp;" AB Equity","YEST_LAST_TRADE")</f>
        <v>21.92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281315</v>
      </c>
      <c r="K25">
        <f>_xll.BDP(A25&amp;" AB Equity","OPEN")</f>
        <v>21.92</v>
      </c>
      <c r="L25">
        <f>_xll.BDP(A25&amp;" AB Equity","LOW")</f>
        <v>21.68</v>
      </c>
      <c r="M25">
        <f>_xll.BDP(A25&amp;" AB Equity","HIGH")</f>
        <v>22.65</v>
      </c>
      <c r="N25">
        <f>_xll.BDP(A25&amp;" AB Equity","VWAP")</f>
        <v>22.258299999999998</v>
      </c>
      <c r="O25" t="str">
        <f>_xll.BDP(A25&amp;" AB Equity","SAUDI_ARABIA_EXCHANGE_ID")</f>
        <v>4141</v>
      </c>
      <c r="P25">
        <f>_xll.BDP(A25&amp;" AB Equity","VOLUME_AVG_30D")</f>
        <v>87668.4</v>
      </c>
      <c r="Q25">
        <f>_xll.BDP(A25&amp;" AB Equity","BID")</f>
        <v>22.11</v>
      </c>
      <c r="R25">
        <f>_xll.BDP(A25&amp;" AB Equity","ASK")</f>
        <v>22.19</v>
      </c>
      <c r="S25">
        <f>_xll.BDP(A25&amp;" AB Equity","CHG_PCT_MOV_AVG_200D")</f>
        <v>-9.3240259999999999</v>
      </c>
      <c r="T25">
        <f>_xll.BDP(A25&amp;" AB Equity","HIGH_30D")</f>
        <v>22.3</v>
      </c>
      <c r="U25">
        <f>_xll.BDP(A25&amp;" AB Equity","LOW_30D")</f>
        <v>19.82</v>
      </c>
      <c r="V25" s="11" t="str" cm="1">
        <f t="array" aca="1" ref="V25" ca="1">_xll.BDH(A25&amp;" AB Equity","MOV_AVG_200D",TODAY()-32,TODAY()-32,"Days=T")</f>
        <v>#N/A N/A</v>
      </c>
      <c r="W25">
        <v>129.12100000000001</v>
      </c>
      <c r="X25">
        <f>IF(B25="","",_xlfn.SINGLE(_xll.BDP(A25&amp;" AB Equity","MOV_AVG_200D")))</f>
        <v>24.802600000000002</v>
      </c>
    </row>
    <row r="26" spans="1:24" x14ac:dyDescent="0.25">
      <c r="A26" t="s">
        <v>42</v>
      </c>
      <c r="B26">
        <f>_xll.BDP(A26&amp;" AB Equity","LAST_PRICE")</f>
        <v>2.2599999999999998</v>
      </c>
      <c r="C26">
        <f>_xll.BDP(A26&amp;" AB Equity","LAST_PRICE")</f>
        <v>2.2599999999999998</v>
      </c>
      <c r="D26">
        <f>_xll.BDP(A26&amp;" AB Equity","RT_PX_CHG_PCT_1D")</f>
        <v>0.44440001249313354</v>
      </c>
      <c r="E26">
        <f>_xll.BDP(A26&amp;" AB Equity","CHG_PCT_1M_RT")</f>
        <v>4.6295999999999999</v>
      </c>
      <c r="F26">
        <f>_xll.BDP(A26&amp;" AB Equity","CHG_PCT_YTD_RT")</f>
        <v>16.494800000000001</v>
      </c>
      <c r="G26">
        <f>_xll.BDP(A26&amp;" AB Equity","YEST_LAST_TRADE")</f>
        <v>2.25</v>
      </c>
      <c r="H26">
        <f>_xll.BDP(A26&amp;" AB Equity","HIGH_52WEEK")</f>
        <v>2.57</v>
      </c>
      <c r="I26">
        <f>_xll.BDP(A26&amp;" AB Equity","LOW_52WEEK")</f>
        <v>1.87</v>
      </c>
      <c r="J26">
        <f>_xll.BDP(A26&amp;" AB Equity","VOLUME")</f>
        <v>11878646</v>
      </c>
      <c r="K26">
        <f>_xll.BDP(A26&amp;" AB Equity","OPEN")</f>
        <v>2.25</v>
      </c>
      <c r="L26">
        <f>_xll.BDP(A26&amp;" AB Equity","LOW")</f>
        <v>2.2200000000000002</v>
      </c>
      <c r="M26">
        <f>_xll.BDP(A26&amp;" AB Equity","HIGH")</f>
        <v>2.27</v>
      </c>
      <c r="N26">
        <f>_xll.BDP(A26&amp;" AB Equity","VWAP")</f>
        <v>2.2484999999999999</v>
      </c>
      <c r="O26" t="str">
        <f>_xll.BDP(A26&amp;" AB Equity","SAUDI_ARABIA_EXCHANGE_ID")</f>
        <v>4110</v>
      </c>
      <c r="P26">
        <f>_xll.BDP(A26&amp;" AB Equity","VOLUME_AVG_30D")</f>
        <v>5458314</v>
      </c>
      <c r="Q26">
        <f>_xll.BDP(A26&amp;" AB Equity","BID")</f>
        <v>2.25</v>
      </c>
      <c r="R26">
        <f>_xll.BDP(A26&amp;" AB Equity","ASK")</f>
        <v>2.2599999999999998</v>
      </c>
      <c r="S26">
        <f>_xll.BDP(A26&amp;" AB Equity","CHG_PCT_MOV_AVG_200D")</f>
        <v>3.658255</v>
      </c>
      <c r="T26">
        <f>_xll.BDP(A26&amp;" AB Equity","HIGH_30D")</f>
        <v>2.25</v>
      </c>
      <c r="U26">
        <f>_xll.BDP(A26&amp;" AB Equity","LOW_30D")</f>
        <v>2.1</v>
      </c>
      <c r="V26" s="11" t="str" cm="1">
        <f t="array" aca="1" ref="V26" ca="1">_xll.BDH(A26&amp;" AB Equity","MOV_AVG_200D",TODAY()-32,TODAY()-32,"Days=T")</f>
        <v>#N/A N/A</v>
      </c>
      <c r="W26">
        <v>129.02850000000001</v>
      </c>
      <c r="X26">
        <f>IF(B26="","",_xlfn.SINGLE(_xll.BDP(A26&amp;" AB Equity","MOV_AVG_200D")))</f>
        <v>2.1513</v>
      </c>
    </row>
    <row r="27" spans="1:24" x14ac:dyDescent="0.25">
      <c r="A27" t="s">
        <v>43</v>
      </c>
      <c r="B27">
        <f>_xll.BDP(A27&amp;" AB Equity","LAST_PRICE")</f>
        <v>131.6</v>
      </c>
      <c r="C27">
        <f>_xll.BDP(A27&amp;" AB Equity","LAST_PRICE")</f>
        <v>131.6</v>
      </c>
      <c r="D27">
        <f>_xll.BDP(A27&amp;" AB Equity","RT_PX_CHG_PCT_1D")</f>
        <v>-0.60420000553131104</v>
      </c>
      <c r="E27">
        <f>_xll.BDP(A27&amp;" AB Equity","CHG_PCT_1M_RT")</f>
        <v>-1.6442000000000001</v>
      </c>
      <c r="F27">
        <f>_xll.BDP(A27&amp;" AB Equity","CHG_PCT_YTD_RT")</f>
        <v>-7.1276999999999999</v>
      </c>
      <c r="G27">
        <f>_xll.BDP(A27&amp;" AB Equity","YEST_LAST_TRADE")</f>
        <v>132.4</v>
      </c>
      <c r="H27">
        <f>_xll.BDP(A27&amp;" AB Equity","HIGH_52WEEK")</f>
        <v>161.69999999999999</v>
      </c>
      <c r="I27">
        <f>_xll.BDP(A27&amp;" AB Equity","LOW_52WEEK")</f>
        <v>120.3</v>
      </c>
      <c r="J27">
        <f>_xll.BDP(A27&amp;" AB Equity","VOLUME")</f>
        <v>59170</v>
      </c>
      <c r="K27">
        <f>_xll.BDP(A27&amp;" AB Equity","OPEN")</f>
        <v>131.80000000000001</v>
      </c>
      <c r="L27">
        <f>_xll.BDP(A27&amp;" AB Equity","LOW")</f>
        <v>130.4</v>
      </c>
      <c r="M27">
        <f>_xll.BDP(A27&amp;" AB Equity","HIGH")</f>
        <v>131.80000000000001</v>
      </c>
      <c r="N27">
        <f>_xll.BDP(A27&amp;" AB Equity","VWAP")</f>
        <v>130.96080000000001</v>
      </c>
      <c r="O27" t="str">
        <f>_xll.BDP(A27&amp;" AB Equity","SAUDI_ARABIA_EXCHANGE_ID")</f>
        <v>1212</v>
      </c>
      <c r="P27">
        <f>_xll.BDP(A27&amp;" AB Equity","VOLUME_AVG_30D")</f>
        <v>83372.13</v>
      </c>
      <c r="Q27">
        <f>_xll.BDP(A27&amp;" AB Equity","BID")</f>
        <v>131.6</v>
      </c>
      <c r="R27">
        <f>_xll.BDP(A27&amp;" AB Equity","ASK")</f>
        <v>131.9</v>
      </c>
      <c r="S27">
        <f>_xll.BDP(A27&amp;" AB Equity","CHG_PCT_MOV_AVG_200D")</f>
        <v>-6.4855999999999998</v>
      </c>
      <c r="T27">
        <f>_xll.BDP(A27&amp;" AB Equity","HIGH_30D")</f>
        <v>138.9</v>
      </c>
      <c r="U27">
        <f>_xll.BDP(A27&amp;" AB Equity","LOW_30D")</f>
        <v>130.1</v>
      </c>
      <c r="V27" s="11" t="str" cm="1">
        <f t="array" aca="1" ref="V27" ca="1">_xll.BDH(A27&amp;" AB Equity","MOV_AVG_200D",TODAY()-32,TODAY()-32,"Days=T")</f>
        <v>#N/A N/A</v>
      </c>
      <c r="W27">
        <v>128.935</v>
      </c>
      <c r="X27">
        <f>IF(B27="","",_xlfn.SINGLE(_xll.BDP(A27&amp;" AB Equity","MOV_AVG_200D")))</f>
        <v>139.8715</v>
      </c>
    </row>
    <row r="28" spans="1:24" x14ac:dyDescent="0.25">
      <c r="A28" t="s">
        <v>44</v>
      </c>
      <c r="B28">
        <f>_xll.BDP(A28&amp;" AB Equity","LAST_PRICE")</f>
        <v>167.7</v>
      </c>
      <c r="C28">
        <f>_xll.BDP(A28&amp;" AB Equity","LAST_PRICE")</f>
        <v>167.7</v>
      </c>
      <c r="D28">
        <f>_xll.BDP(A28&amp;" AB Equity","RT_PX_CHG_PCT_1D")</f>
        <v>-0.29730001091957092</v>
      </c>
      <c r="E28">
        <f>_xll.BDP(A28&amp;" AB Equity","CHG_PCT_1M_RT")</f>
        <v>11.8</v>
      </c>
      <c r="F28">
        <f>_xll.BDP(A28&amp;" AB Equity","CHG_PCT_YTD_RT")</f>
        <v>19.785699999999999</v>
      </c>
      <c r="G28">
        <f>_xll.BDP(A28&amp;" AB Equity","YEST_LAST_TRADE")</f>
        <v>168.2</v>
      </c>
      <c r="H28">
        <f>_xll.BDP(A28&amp;" AB Equity","HIGH_52WEEK")</f>
        <v>190.6</v>
      </c>
      <c r="I28">
        <f>_xll.BDP(A28&amp;" AB Equity","LOW_52WEEK")</f>
        <v>124.8</v>
      </c>
      <c r="J28">
        <f>_xll.BDP(A28&amp;" AB Equity","VOLUME")</f>
        <v>30444</v>
      </c>
      <c r="K28">
        <f>_xll.BDP(A28&amp;" AB Equity","OPEN")</f>
        <v>166.2</v>
      </c>
      <c r="L28">
        <f>_xll.BDP(A28&amp;" AB Equity","LOW")</f>
        <v>165</v>
      </c>
      <c r="M28">
        <f>_xll.BDP(A28&amp;" AB Equity","HIGH")</f>
        <v>169.6</v>
      </c>
      <c r="N28">
        <f>_xll.BDP(A28&amp;" AB Equity","VWAP")</f>
        <v>166.56649999999999</v>
      </c>
      <c r="O28" t="str">
        <f>_xll.BDP(A28&amp;" AB Equity","SAUDI_ARABIA_EXCHANGE_ID")</f>
        <v>2110</v>
      </c>
      <c r="P28">
        <f>_xll.BDP(A28&amp;" AB Equity","VOLUME_AVG_30D")</f>
        <v>62710.3</v>
      </c>
      <c r="Q28">
        <f>_xll.BDP(A28&amp;" AB Equity","BID")</f>
        <v>166.7</v>
      </c>
      <c r="R28">
        <f>_xll.BDP(A28&amp;" AB Equity","ASK")</f>
        <v>167.7</v>
      </c>
      <c r="S28">
        <f>_xll.BDP(A28&amp;" AB Equity","CHG_PCT_MOV_AVG_200D")</f>
        <v>9.9681630000000006</v>
      </c>
      <c r="T28">
        <f>_xll.BDP(A28&amp;" AB Equity","HIGH_30D")</f>
        <v>190.6</v>
      </c>
      <c r="U28">
        <f>_xll.BDP(A28&amp;" AB Equity","LOW_30D")</f>
        <v>143.6</v>
      </c>
      <c r="V28" s="11" t="str" cm="1">
        <f t="array" aca="1" ref="V28" ca="1">_xll.BDH(A28&amp;" AB Equity","MOV_AVG_200D",TODAY()-32,TODAY()-32,"Days=T")</f>
        <v>#N/A N/A</v>
      </c>
      <c r="W28">
        <v>128.86600000000001</v>
      </c>
      <c r="X28">
        <f>IF(B28="","",_xlfn.SINGLE(_xll.BDP(A28&amp;" AB Equity","MOV_AVG_200D")))</f>
        <v>152.04400000000001</v>
      </c>
    </row>
    <row r="29" spans="1:24" x14ac:dyDescent="0.25">
      <c r="A29" t="s">
        <v>45</v>
      </c>
      <c r="B29">
        <f>_xll.BDP(A29&amp;" AB Equity","LAST_PRICE")</f>
        <v>2.41</v>
      </c>
      <c r="C29">
        <f>_xll.BDP(A29&amp;" AB Equity","LAST_PRICE")</f>
        <v>2.41</v>
      </c>
      <c r="D29">
        <f>_xll.BDP(A29&amp;" AB Equity","RT_PX_CHG_PCT_1D")</f>
        <v>1.6878000497817993</v>
      </c>
      <c r="E29">
        <f>_xll.BDP(A29&amp;" AB Equity","CHG_PCT_1M_RT")</f>
        <v>3.4335</v>
      </c>
      <c r="F29">
        <f>_xll.BDP(A29&amp;" AB Equity","CHG_PCT_YTD_RT")</f>
        <v>6.6372</v>
      </c>
      <c r="G29">
        <f>_xll.BDP(A29&amp;" AB Equity","YEST_LAST_TRADE")</f>
        <v>2.37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13681144</v>
      </c>
      <c r="K29">
        <f>_xll.BDP(A29&amp;" AB Equity","OPEN")</f>
        <v>2.4</v>
      </c>
      <c r="L29">
        <f>_xll.BDP(A29&amp;" AB Equity","LOW")</f>
        <v>2.35</v>
      </c>
      <c r="M29">
        <f>_xll.BDP(A29&amp;" AB Equity","HIGH")</f>
        <v>2.44</v>
      </c>
      <c r="N29">
        <f>_xll.BDP(A29&amp;" AB Equity","VWAP")</f>
        <v>2.4026000000000001</v>
      </c>
      <c r="O29" t="str">
        <f>_xll.BDP(A29&amp;" AB Equity","SAUDI_ARABIA_EXCHANGE_ID")</f>
        <v>4140</v>
      </c>
      <c r="P29">
        <f>_xll.BDP(A29&amp;" AB Equity","VOLUME_AVG_30D")</f>
        <v>2296133</v>
      </c>
      <c r="Q29">
        <f>_xll.BDP(A29&amp;" AB Equity","BID")</f>
        <v>2.4</v>
      </c>
      <c r="R29">
        <f>_xll.BDP(A29&amp;" AB Equity","ASK")</f>
        <v>2.41</v>
      </c>
      <c r="S29">
        <f>_xll.BDP(A29&amp;" AB Equity","CHG_PCT_MOV_AVG_200D")</f>
        <v>4.6888110000000003</v>
      </c>
      <c r="T29">
        <f>_xll.BDP(A29&amp;" AB Equity","HIGH_30D")</f>
        <v>2.48</v>
      </c>
      <c r="U29">
        <f>_xll.BDP(A29&amp;" AB Equity","LOW_30D")</f>
        <v>2.29</v>
      </c>
      <c r="V29" s="11" t="str" cm="1">
        <f t="array" aca="1" ref="V29" ca="1">_xll.BDH(A29&amp;" AB Equity","MOV_AVG_200D",TODAY()-32,TODAY()-32,"Days=T")</f>
        <v>#N/A N/A</v>
      </c>
      <c r="W29">
        <v>2.1995</v>
      </c>
      <c r="X29">
        <f>IF(B29="","",_xlfn.SINGLE(_xll.BDP(A29&amp;" AB Equity","MOV_AVG_200D")))</f>
        <v>2.2543000000000002</v>
      </c>
    </row>
    <row r="30" spans="1:24" x14ac:dyDescent="0.25">
      <c r="A30" t="s">
        <v>426</v>
      </c>
      <c r="B30">
        <f>_xll.BDP(A30&amp;" AB Equity","LAST_PRICE")</f>
        <v>17.670000000000002</v>
      </c>
      <c r="C30">
        <f>_xll.BDP(A30&amp;" AB Equity","LAST_PRICE")</f>
        <v>17.670000000000002</v>
      </c>
      <c r="D30">
        <f>_xll.BDP(A30&amp;" AB Equity","RT_PX_CHG_PCT_1D")</f>
        <v>2.6131999492645264</v>
      </c>
      <c r="E30">
        <f>_xll.BDP(A30&amp;" AB Equity","CHG_PCT_1M_RT")</f>
        <v>20.2041</v>
      </c>
      <c r="F30">
        <f>_xll.BDP(A30&amp;" AB Equity","CHG_PCT_YTD_RT")</f>
        <v>35.091700000000003</v>
      </c>
      <c r="G30">
        <f>_xll.BDP(A30&amp;" AB Equity","YEST_LAST_TRADE")</f>
        <v>17.22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560485</v>
      </c>
      <c r="K30">
        <f>_xll.BDP(A30&amp;" AB Equity","OPEN")</f>
        <v>17.37</v>
      </c>
      <c r="L30">
        <f>_xll.BDP(A30&amp;" AB Equity","LOW")</f>
        <v>16.89</v>
      </c>
      <c r="M30">
        <f>_xll.BDP(A30&amp;" AB Equity","HIGH")</f>
        <v>17.72</v>
      </c>
      <c r="N30">
        <f>_xll.BDP(A30&amp;" AB Equity","VWAP")</f>
        <v>17.396899999999999</v>
      </c>
      <c r="O30" t="str">
        <f>_xll.BDP(A30&amp;" AB Equity","SAUDI_ARABIA_EXCHANGE_ID")</f>
        <v>4146</v>
      </c>
      <c r="P30">
        <f>_xll.BDP(A30&amp;" AB Equity","VOLUME_AVG_30D")</f>
        <v>476408.6</v>
      </c>
      <c r="Q30">
        <f>_xll.BDP(A30&amp;" AB Equity","BID")</f>
        <v>17.670000000000002</v>
      </c>
      <c r="R30">
        <f>_xll.BDP(A30&amp;" AB Equity","ASK")</f>
        <v>17.68</v>
      </c>
      <c r="S30">
        <f>_xll.BDP(A30&amp;" AB Equity","CHG_PCT_MOV_AVG_200D")</f>
        <v>17.74145</v>
      </c>
      <c r="T30">
        <f>_xll.BDP(A30&amp;" AB Equity","HIGH_30D")</f>
        <v>17.399999999999999</v>
      </c>
      <c r="U30">
        <f>_xll.BDP(A30&amp;" AB Equity","LOW_30D")</f>
        <v>13.92</v>
      </c>
      <c r="V30" s="11" t="str" cm="1">
        <f t="array" aca="1" ref="V30" ca="1">_xll.BDH(A30&amp;" AB Equity","MOV_AVG_200D",TODAY()-32,TODAY()-32,"Days=T")</f>
        <v>#N/A N/A</v>
      </c>
      <c r="W30">
        <v>2.2008000000000001</v>
      </c>
      <c r="X30">
        <f>IF(B30="","",_xlfn.SINGLE(_xll.BDP(A30&amp;" AB Equity","MOV_AVG_200D")))</f>
        <v>14.582800000000001</v>
      </c>
    </row>
    <row r="31" spans="1:24" x14ac:dyDescent="0.25">
      <c r="A31" t="s">
        <v>427</v>
      </c>
      <c r="B31">
        <f>_xll.BDP(A31&amp;" AB Equity","LAST_PRICE")</f>
        <v>6.64</v>
      </c>
      <c r="C31">
        <f>_xll.BDP(A31&amp;" AB Equity","LAST_PRICE")</f>
        <v>6.64</v>
      </c>
      <c r="D31">
        <f>_xll.BDP(A31&amp;" AB Equity","RT_PX_CHG_PCT_1D")</f>
        <v>1.8404999971389771</v>
      </c>
      <c r="E31">
        <f>_xll.BDP(A31&amp;" AB Equity","CHG_PCT_1M_RT")</f>
        <v>-13.6541</v>
      </c>
      <c r="F31">
        <f>_xll.BDP(A31&amp;" AB Equity","CHG_PCT_YTD_RT")</f>
        <v>-26.9527</v>
      </c>
      <c r="G31">
        <f>_xll.BDP(A31&amp;" AB Equity","YEST_LAST_TRADE")</f>
        <v>6.52</v>
      </c>
      <c r="H31">
        <f>_xll.BDP(A31&amp;" AB Equity","HIGH_52WEEK")</f>
        <v>10.95</v>
      </c>
      <c r="I31">
        <f>_xll.BDP(A31&amp;" AB Equity","LOW_52WEEK")</f>
        <v>6.39</v>
      </c>
      <c r="J31">
        <f>_xll.BDP(A31&amp;" AB Equity","VOLUME")</f>
        <v>752608</v>
      </c>
      <c r="K31">
        <f>_xll.BDP(A31&amp;" AB Equity","OPEN")</f>
        <v>6.52</v>
      </c>
      <c r="L31">
        <f>_xll.BDP(A31&amp;" AB Equity","LOW")</f>
        <v>6.46</v>
      </c>
      <c r="M31">
        <f>_xll.BDP(A31&amp;" AB Equity","HIGH")</f>
        <v>6.64</v>
      </c>
      <c r="N31">
        <f>_xll.BDP(A31&amp;" AB Equity","VWAP")</f>
        <v>6.5709</v>
      </c>
      <c r="O31" t="str">
        <f>_xll.BDP(A31&amp;" AB Equity","SAUDI_ARABIA_EXCHANGE_ID")</f>
        <v>4147</v>
      </c>
      <c r="P31">
        <f>_xll.BDP(A31&amp;" AB Equity","VOLUME_AVG_30D")</f>
        <v>962455.2</v>
      </c>
      <c r="Q31">
        <f>_xll.BDP(A31&amp;" AB Equity","BID")</f>
        <v>6.64</v>
      </c>
      <c r="R31">
        <f>_xll.BDP(A31&amp;" AB Equity","ASK")</f>
        <v>6.65</v>
      </c>
      <c r="S31" t="str">
        <f>_xll.BDP(A31&amp;" AB Equity","CHG_PCT_MOV_AVG_200D")</f>
        <v>#N/A N/A</v>
      </c>
      <c r="T31">
        <f>_xll.BDP(A31&amp;" AB Equity","HIGH_30D")</f>
        <v>8.5</v>
      </c>
      <c r="U31">
        <f>_xll.BDP(A31&amp;" AB Equity","LOW_30D")</f>
        <v>6.39</v>
      </c>
      <c r="V31" s="11" t="str" cm="1">
        <f t="array" aca="1" ref="V31" ca="1">_xll.BDH(A31&amp;" AB Equity","MOV_AVG_200D",TODAY()-32,TODAY()-32,"Days=T")</f>
        <v>#N/A N/A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2.7</v>
      </c>
      <c r="C32">
        <f>_xll.BDP(A32&amp;" AB Equity","LAST_PRICE")</f>
        <v>2.7</v>
      </c>
      <c r="D32">
        <f>_xll.BDP(A32&amp;" AB Equity","RT_PX_CHG_PCT_1D")</f>
        <v>0.3716999888420105</v>
      </c>
      <c r="E32">
        <f>_xll.BDP(A32&amp;" AB Equity","CHG_PCT_1M_RT")</f>
        <v>0</v>
      </c>
      <c r="F32">
        <f>_xll.BDP(A32&amp;" AB Equity","CHG_PCT_YTD_RT")</f>
        <v>-20.588200000000001</v>
      </c>
      <c r="G32">
        <f>_xll.BDP(A32&amp;" AB Equity","YEST_LAST_TRADE")</f>
        <v>2.69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828395</v>
      </c>
      <c r="K32">
        <f>_xll.BDP(A32&amp;" AB Equity","OPEN")</f>
        <v>2.7</v>
      </c>
      <c r="L32">
        <f>_xll.BDP(A32&amp;" AB Equity","LOW")</f>
        <v>2.67</v>
      </c>
      <c r="M32">
        <f>_xll.BDP(A32&amp;" AB Equity","HIGH")</f>
        <v>2.72</v>
      </c>
      <c r="N32">
        <f>_xll.BDP(A32&amp;" AB Equity","VWAP")</f>
        <v>2.6905000000000001</v>
      </c>
      <c r="O32">
        <v>4148</v>
      </c>
      <c r="P32">
        <f>_xll.BDP(A32&amp;" AB Equity","VOLUME_AVG_30D")</f>
        <v>1401988</v>
      </c>
      <c r="Q32">
        <f>_xll.BDP(A32&amp;" AB Equity","BID")</f>
        <v>2.69</v>
      </c>
      <c r="R32">
        <f>_xll.BDP(A32&amp;" AB Equity","ASK")</f>
        <v>2.7</v>
      </c>
      <c r="S32">
        <f>_xll.BDP(A32&amp;" AB Equity","CHG_PCT_MOV_AVG_200D")</f>
        <v>-16.076499999999999</v>
      </c>
      <c r="T32">
        <f>_xll.BDP(A32&amp;" AB Equity","HIGH_30D")</f>
        <v>2.87</v>
      </c>
      <c r="U32">
        <f>_xll.BDP(A32&amp;" AB Equity","LOW_30D")</f>
        <v>2.5</v>
      </c>
      <c r="V32" s="11" t="str" cm="1">
        <f t="array" aca="1" ref="V32" ca="1">_xll.BDH(A32&amp;" AB Equity","MOV_AVG_200D",TODAY()-32,TODAY()-32,"Days=T")</f>
        <v>#N/A N/A</v>
      </c>
      <c r="W32">
        <v>2.2021999999999999</v>
      </c>
      <c r="X32">
        <f>IF(B32="","",_xlfn.SINGLE(_xll.BDP(A32&amp;" AB Equity","MOV_AVG_200D")))</f>
        <v>3.2052999999999998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5.05</v>
      </c>
      <c r="C34">
        <f>_xll.BDP(A34&amp;" AB Equity","LAST_PRICE")</f>
        <v>5.05</v>
      </c>
      <c r="D34">
        <f>_xll.BDP(A34&amp;" AB Equity","RT_PX_CHG_PCT_1D")</f>
        <v>0.29789999127388</v>
      </c>
      <c r="E34">
        <f>_xll.BDP(A34&amp;" AB Equity","CHG_PCT_1M_RT")</f>
        <v>-3.6442999999999999</v>
      </c>
      <c r="F34">
        <f>_xll.BDP(A34&amp;" AB Equity","CHG_PCT_YTD_RT")</f>
        <v>-0.9415</v>
      </c>
      <c r="G34">
        <f>_xll.BDP(A34&amp;" AB Equity","YEST_LAST_TRADE")</f>
        <v>5.0350000000000001</v>
      </c>
      <c r="H34">
        <f>_xll.BDP(A34&amp;" AB Equity","HIGH_52WEEK")</f>
        <v>5.47</v>
      </c>
      <c r="I34">
        <f>_xll.BDP(A34&amp;" AB Equity","LOW_52WEEK")</f>
        <v>3.4750000000000001</v>
      </c>
      <c r="J34">
        <f>_xll.BDP(A34&amp;" AB Equity","VOLUME")</f>
        <v>1882428</v>
      </c>
      <c r="K34">
        <f>_xll.BDP(A34&amp;" AB Equity","OPEN")</f>
        <v>5.29</v>
      </c>
      <c r="L34">
        <f>_xll.BDP(A34&amp;" AB Equity","LOW")</f>
        <v>4.97</v>
      </c>
      <c r="M34">
        <f>_xll.BDP(A34&amp;" AB Equity","HIGH")</f>
        <v>5.29</v>
      </c>
      <c r="N34">
        <f>_xll.BDP(A34&amp;" AB Equity","VWAP")</f>
        <v>5.0484999999999998</v>
      </c>
      <c r="O34" t="str">
        <f>_xll.BDP(A34&amp;" AB Equity","SAUDI_ARABIA_EXCHANGE_ID")</f>
        <v>1831</v>
      </c>
      <c r="P34">
        <f>_xll.BDP(A34&amp;" AB Equity","VOLUME_AVG_30D")</f>
        <v>3789513</v>
      </c>
      <c r="Q34">
        <f>_xll.BDP(A34&amp;" AB Equity","BID")</f>
        <v>5.04</v>
      </c>
      <c r="R34">
        <f>_xll.BDP(A34&amp;" AB Equity","ASK")</f>
        <v>5.05</v>
      </c>
      <c r="S34">
        <f>_xll.BDP(A34&amp;" AB Equity","CHG_PCT_MOV_AVG_200D")</f>
        <v>8.5061239999999998</v>
      </c>
      <c r="T34">
        <f>_xll.BDP(A34&amp;" AB Equity","HIGH_30D")</f>
        <v>5.423</v>
      </c>
      <c r="U34">
        <f>_xll.BDP(A34&amp;" AB Equity","LOW_30D")</f>
        <v>6.12</v>
      </c>
      <c r="V34" s="11" t="str" cm="1">
        <f t="array" aca="1" ref="V34" ca="1">_xll.BDH(A34&amp;" AB Equity","MOV_AVG_200D",TODAY()-32,TODAY()-32,"Days=T")</f>
        <v>#N/A N/A</v>
      </c>
      <c r="W34">
        <v>2.2044999999999999</v>
      </c>
      <c r="X34">
        <f>IF(B34="","",_xlfn.SINGLE(_xll.BDP(A34&amp;" AB Equity","MOV_AVG_200D")))</f>
        <v>4.6356830000000002</v>
      </c>
    </row>
    <row r="35" spans="1:24" x14ac:dyDescent="0.25">
      <c r="A35" t="s">
        <v>48</v>
      </c>
      <c r="B35">
        <f>_xll.BDP(A35&amp;" AB Equity","LAST_PRICE")</f>
        <v>6.3</v>
      </c>
      <c r="C35">
        <f>_xll.BDP(A35&amp;" AB Equity","LAST_PRICE")</f>
        <v>6.3</v>
      </c>
      <c r="D35">
        <f>_xll.BDP(A35&amp;" AB Equity","RT_PX_CHG_PCT_1D")</f>
        <v>1.2862000465393066</v>
      </c>
      <c r="E35">
        <f>_xll.BDP(A35&amp;" AB Equity","CHG_PCT_1M_RT")</f>
        <v>7.1429</v>
      </c>
      <c r="F35">
        <f>_xll.BDP(A35&amp;" AB Equity","CHG_PCT_YTD_RT")</f>
        <v>19.318200000000001</v>
      </c>
      <c r="G35">
        <f>_xll.BDP(A35&amp;" AB Equity","YEST_LAST_TRADE")</f>
        <v>6.22</v>
      </c>
      <c r="H35">
        <f>_xll.BDP(A35&amp;" AB Equity","HIGH_52WEEK")</f>
        <v>6.59</v>
      </c>
      <c r="I35">
        <f>_xll.BDP(A35&amp;" AB Equity","LOW_52WEEK")</f>
        <v>4.8899999999999997</v>
      </c>
      <c r="J35">
        <f>_xll.BDP(A35&amp;" AB Equity","VOLUME")</f>
        <v>1298357</v>
      </c>
      <c r="K35">
        <f>_xll.BDP(A35&amp;" AB Equity","OPEN")</f>
        <v>6.22</v>
      </c>
      <c r="L35">
        <f>_xll.BDP(A35&amp;" AB Equity","LOW")</f>
        <v>6.14</v>
      </c>
      <c r="M35">
        <f>_xll.BDP(A35&amp;" AB Equity","HIGH")</f>
        <v>6.3</v>
      </c>
      <c r="N35">
        <f>_xll.BDP(A35&amp;" AB Equity","VWAP")</f>
        <v>6.2297000000000002</v>
      </c>
      <c r="O35" t="str">
        <f>_xll.BDP(A35&amp;" AB Equity","SAUDI_ARABIA_EXCHANGE_ID")</f>
        <v>1834</v>
      </c>
      <c r="P35">
        <f>_xll.BDP(A35&amp;" AB Equity","VOLUME_AVG_30D")</f>
        <v>3435731</v>
      </c>
      <c r="Q35">
        <f>_xll.BDP(A35&amp;" AB Equity","BID")</f>
        <v>6.27</v>
      </c>
      <c r="R35">
        <f>_xll.BDP(A35&amp;" AB Equity","ASK")</f>
        <v>6.3</v>
      </c>
      <c r="S35">
        <f>_xll.BDP(A35&amp;" AB Equity","CHG_PCT_MOV_AVG_200D")</f>
        <v>8.0693490000000008</v>
      </c>
      <c r="T35">
        <f>_xll.BDP(A35&amp;" AB Equity","HIGH_30D")</f>
        <v>6.59</v>
      </c>
      <c r="U35">
        <f>_xll.BDP(A35&amp;" AB Equity","LOW_30D")</f>
        <v>5.8</v>
      </c>
      <c r="V35" s="11" t="str" cm="1">
        <f t="array" aca="1" ref="V35" ca="1">_xll.BDH(A35&amp;" AB Equity","MOV_AVG_200D",TODAY()-32,TODAY()-32,"Days=T")</f>
        <v>#N/A N/A</v>
      </c>
      <c r="W35">
        <v>2.2054</v>
      </c>
      <c r="X35">
        <f>IF(B35="","",_xlfn.SINGLE(_xll.BDP(A35&amp;" AB Equity","MOV_AVG_200D")))</f>
        <v>5.7185499999999996</v>
      </c>
    </row>
    <row r="36" spans="1:24" x14ac:dyDescent="0.25">
      <c r="A36" t="s">
        <v>49</v>
      </c>
      <c r="B36">
        <f>_xll.BDP(A36&amp;" AB Equity","LAST_PRICE")</f>
        <v>45.86</v>
      </c>
      <c r="C36">
        <f>_xll.BDP(A36&amp;" AB Equity","LAST_PRICE")</f>
        <v>45.86</v>
      </c>
      <c r="D36">
        <f>_xll.BDP(A36&amp;" AB Equity","RT_PX_CHG_PCT_1D")</f>
        <v>0.13099999725818634</v>
      </c>
      <c r="E36">
        <f>_xll.BDP(A36&amp;" AB Equity","CHG_PCT_1M_RT")</f>
        <v>2.3660999999999999</v>
      </c>
      <c r="F36">
        <f>_xll.BDP(A36&amp;" AB Equity","CHG_PCT_YTD_RT")</f>
        <v>-15.0741</v>
      </c>
      <c r="G36">
        <f>_xll.BDP(A36&amp;" AB Equity","YEST_LAST_TRADE")</f>
        <v>45.8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35386</v>
      </c>
      <c r="K36">
        <f>_xll.BDP(A36&amp;" AB Equity","OPEN")</f>
        <v>45.8</v>
      </c>
      <c r="L36">
        <f>_xll.BDP(A36&amp;" AB Equity","LOW")</f>
        <v>45.62</v>
      </c>
      <c r="M36">
        <f>_xll.BDP(A36&amp;" AB Equity","HIGH")</f>
        <v>46</v>
      </c>
      <c r="N36">
        <f>_xll.BDP(A36&amp;" AB Equity","VWAP")</f>
        <v>45.8354</v>
      </c>
      <c r="O36" t="str">
        <f>_xll.BDP(A36&amp;" AB Equity","SAUDI_ARABIA_EXCHANGE_ID")</f>
        <v>1835</v>
      </c>
      <c r="P36">
        <f>_xll.BDP(A36&amp;" AB Equity","VOLUME_AVG_30D")</f>
        <v>98871.87</v>
      </c>
      <c r="Q36">
        <f>_xll.BDP(A36&amp;" AB Equity","BID")</f>
        <v>45.86</v>
      </c>
      <c r="R36">
        <f>_xll.BDP(A36&amp;" AB Equity","ASK")</f>
        <v>45.92</v>
      </c>
      <c r="S36">
        <f>_xll.BDP(A36&amp;" AB Equity","CHG_PCT_MOV_AVG_200D")</f>
        <v>-10.788869999999999</v>
      </c>
      <c r="T36">
        <f>_xll.BDP(A36&amp;" AB Equity","HIGH_30D")</f>
        <v>48.9</v>
      </c>
      <c r="U36">
        <f>_xll.BDP(A36&amp;" AB Equity","LOW_30D")</f>
        <v>43.54</v>
      </c>
      <c r="V36" s="11" t="str" cm="1">
        <f t="array" aca="1" ref="V36" ca="1">_xll.BDH(A36&amp;" AB Equity","MOV_AVG_200D",TODAY()-32,TODAY()-32,"Days=T")</f>
        <v>#N/A N/A</v>
      </c>
      <c r="W36">
        <v>15.0648</v>
      </c>
      <c r="X36">
        <f>IF(B36="","",_xlfn.SINGLE(_xll.BDP(A36&amp;" AB Equity","MOV_AVG_200D")))</f>
        <v>51.473399999999998</v>
      </c>
    </row>
    <row r="37" spans="1:24" x14ac:dyDescent="0.25">
      <c r="A37" t="s">
        <v>50</v>
      </c>
      <c r="B37">
        <f>_xll.BDP(A37&amp;" AB Equity","LAST_PRICE")</f>
        <v>74.849999999999994</v>
      </c>
      <c r="C37">
        <f>_xll.BDP(A37&amp;" AB Equity","LAST_PRICE")</f>
        <v>74.849999999999994</v>
      </c>
      <c r="D37">
        <f>_xll.BDP(A37&amp;" AB Equity","RT_PX_CHG_PCT_1D")</f>
        <v>-0.39919999241828918</v>
      </c>
      <c r="E37">
        <f>_xll.BDP(A37&amp;" AB Equity","CHG_PCT_1M_RT")</f>
        <v>-0.2</v>
      </c>
      <c r="F37">
        <f>_xll.BDP(A37&amp;" AB Equity","CHG_PCT_YTD_RT")</f>
        <v>-6.8451000000000004</v>
      </c>
      <c r="G37">
        <f>_xll.BDP(A37&amp;" AB Equity","YEST_LAST_TRADE")</f>
        <v>75.150000000000006</v>
      </c>
      <c r="H37">
        <f>_xll.BDP(A37&amp;" AB Equity","HIGH_52WEEK")</f>
        <v>126.4</v>
      </c>
      <c r="I37">
        <f>_xll.BDP(A37&amp;" AB Equity","LOW_52WEEK")</f>
        <v>67.5</v>
      </c>
      <c r="J37">
        <f>_xll.BDP(A37&amp;" AB Equity","VOLUME")</f>
        <v>97158</v>
      </c>
      <c r="K37">
        <f>_xll.BDP(A37&amp;" AB Equity","OPEN")</f>
        <v>75.25</v>
      </c>
      <c r="L37">
        <f>_xll.BDP(A37&amp;" AB Equity","LOW")</f>
        <v>74.650000000000006</v>
      </c>
      <c r="M37">
        <f>_xll.BDP(A37&amp;" AB Equity","HIGH")</f>
        <v>76</v>
      </c>
      <c r="N37">
        <f>_xll.BDP(A37&amp;" AB Equity","VWAP")</f>
        <v>75.418899999999994</v>
      </c>
      <c r="O37" t="str">
        <f>_xll.BDP(A37&amp;" AB Equity","SAUDI_ARABIA_EXCHANGE_ID")</f>
        <v>6004</v>
      </c>
      <c r="P37">
        <f>_xll.BDP(A37&amp;" AB Equity","VOLUME_AVG_30D")</f>
        <v>187785.2</v>
      </c>
      <c r="Q37">
        <f>_xll.BDP(A37&amp;" AB Equity","BID")</f>
        <v>74.849999999999994</v>
      </c>
      <c r="R37">
        <f>_xll.BDP(A37&amp;" AB Equity","ASK")</f>
        <v>75</v>
      </c>
      <c r="S37">
        <f>_xll.BDP(A37&amp;" AB Equity","CHG_PCT_MOV_AVG_200D")</f>
        <v>-7.2927790000000003</v>
      </c>
      <c r="T37">
        <f>_xll.BDP(A37&amp;" AB Equity","HIGH_30D")</f>
        <v>79.95</v>
      </c>
      <c r="U37">
        <f>_xll.BDP(A37&amp;" AB Equity","LOW_30D")</f>
        <v>72.150000000000006</v>
      </c>
      <c r="V37" s="11" t="str" cm="1">
        <f t="array" aca="1" ref="V37" ca="1">_xll.BDH(A37&amp;" AB Equity","MOV_AVG_200D",TODAY()-32,TODAY()-32,"Days=T")</f>
        <v>#N/A N/A</v>
      </c>
      <c r="W37">
        <v>5.4728000000000003</v>
      </c>
      <c r="X37">
        <f>IF(B37="","",_xlfn.SINGLE(_xll.BDP(A37&amp;" AB Equity","MOV_AVG_200D")))</f>
        <v>81.385249999999999</v>
      </c>
    </row>
    <row r="38" spans="1:24" x14ac:dyDescent="0.25">
      <c r="A38" t="s">
        <v>51</v>
      </c>
      <c r="B38">
        <f>_xll.BDP(A38&amp;" AB Equity","LAST_PRICE")</f>
        <v>102</v>
      </c>
      <c r="C38">
        <f>_xll.BDP(A38&amp;" AB Equity","LAST_PRICE")</f>
        <v>102</v>
      </c>
      <c r="D38">
        <f>_xll.BDP(A38&amp;" AB Equity","RT_PX_CHG_PCT_1D")</f>
        <v>9.8099999129772186E-2</v>
      </c>
      <c r="E38">
        <f>_xll.BDP(A38&amp;" AB Equity","CHG_PCT_1M_RT")</f>
        <v>10.449400000000001</v>
      </c>
      <c r="F38">
        <f>_xll.BDP(A38&amp;" AB Equity","CHG_PCT_YTD_RT")</f>
        <v>4.5350000000000001</v>
      </c>
      <c r="G38">
        <f>_xll.BDP(A38&amp;" AB Equity","YEST_LAST_TRADE")</f>
        <v>101.9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156262</v>
      </c>
      <c r="K38">
        <f>_xll.BDP(A38&amp;" AB Equity","OPEN")</f>
        <v>101.1</v>
      </c>
      <c r="L38">
        <f>_xll.BDP(A38&amp;" AB Equity","LOW")</f>
        <v>101</v>
      </c>
      <c r="M38">
        <f>_xll.BDP(A38&amp;" AB Equity","HIGH")</f>
        <v>102.9</v>
      </c>
      <c r="N38">
        <f>_xll.BDP(A38&amp;" AB Equity","VWAP")</f>
        <v>102.01819999999999</v>
      </c>
      <c r="O38" t="str">
        <f>_xll.BDP(A38&amp;" AB Equity","SAUDI_ARABIA_EXCHANGE_ID")</f>
        <v>1833</v>
      </c>
      <c r="P38">
        <f>_xll.BDP(A38&amp;" AB Equity","VOLUME_AVG_30D")</f>
        <v>184783.1</v>
      </c>
      <c r="Q38">
        <f>_xll.BDP(A38&amp;" AB Equity","BID")</f>
        <v>101</v>
      </c>
      <c r="R38">
        <f>_xll.BDP(A38&amp;" AB Equity","ASK")</f>
        <v>102</v>
      </c>
      <c r="S38">
        <f>_xll.BDP(A38&amp;" AB Equity","CHG_PCT_MOV_AVG_200D")</f>
        <v>9.2593709999999998</v>
      </c>
      <c r="T38">
        <f>_xll.BDP(A38&amp;" AB Equity","HIGH_30D")</f>
        <v>106</v>
      </c>
      <c r="U38">
        <f>_xll.BDP(A38&amp;" AB Equity","LOW_30D")</f>
        <v>91.05</v>
      </c>
      <c r="V38" s="11" t="str" cm="1">
        <f t="array" aca="1" ref="V38" ca="1">_xll.BDH(A38&amp;" AB Equity","MOV_AVG_200D",TODAY()-32,TODAY()-32,"Days=T")</f>
        <v>#N/A N/A</v>
      </c>
      <c r="W38">
        <v>5.4767999999999999</v>
      </c>
      <c r="X38">
        <f>IF(B38="","",_xlfn.SINGLE(_xll.BDP(A38&amp;" AB Equity","MOV_AVG_200D")))</f>
        <v>93.538889999999995</v>
      </c>
    </row>
    <row r="39" spans="1:24" x14ac:dyDescent="0.25">
      <c r="A39" t="s">
        <v>52</v>
      </c>
      <c r="B39">
        <f>_xll.BDP(A39&amp;" AB Equity","LAST_PRICE")</f>
        <v>2.75</v>
      </c>
      <c r="C39">
        <f>_xll.BDP(A39&amp;" AB Equity","LAST_PRICE")</f>
        <v>2.75</v>
      </c>
      <c r="D39">
        <f>_xll.BDP(A39&amp;" AB Equity","RT_PX_CHG_PCT_1D")</f>
        <v>1.4759999513626099</v>
      </c>
      <c r="E39">
        <f>_xll.BDP(A39&amp;" AB Equity","CHG_PCT_1M_RT")</f>
        <v>4.1666999999999996</v>
      </c>
      <c r="F39">
        <f>_xll.BDP(A39&amp;" AB Equity","CHG_PCT_YTD_RT")</f>
        <v>7.0038999999999998</v>
      </c>
      <c r="G39">
        <f>_xll.BDP(A39&amp;" AB Equity","YEST_LAST_TRADE")</f>
        <v>2.71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3117502</v>
      </c>
      <c r="K39">
        <f>_xll.BDP(A39&amp;" AB Equity","OPEN")</f>
        <v>2.73</v>
      </c>
      <c r="L39">
        <f>_xll.BDP(A39&amp;" AB Equity","LOW")</f>
        <v>2.7</v>
      </c>
      <c r="M39">
        <f>_xll.BDP(A39&amp;" AB Equity","HIGH")</f>
        <v>2.77</v>
      </c>
      <c r="N39">
        <f>_xll.BDP(A39&amp;" AB Equity","VWAP")</f>
        <v>2.7366999999999999</v>
      </c>
      <c r="O39" t="str">
        <f>_xll.BDP(A39&amp;" AB Equity","SAUDI_ARABIA_EXCHANGE_ID")</f>
        <v>1832</v>
      </c>
      <c r="P39">
        <f>_xll.BDP(A39&amp;" AB Equity","VOLUME_AVG_30D")</f>
        <v>1124505</v>
      </c>
      <c r="Q39">
        <f>_xll.BDP(A39&amp;" AB Equity","BID")</f>
        <v>2.73</v>
      </c>
      <c r="R39">
        <f>_xll.BDP(A39&amp;" AB Equity","ASK")</f>
        <v>2.75</v>
      </c>
      <c r="S39">
        <f>_xll.BDP(A39&amp;" AB Equity","CHG_PCT_MOV_AVG_200D")</f>
        <v>-1.5655049999999999</v>
      </c>
      <c r="T39">
        <f>_xll.BDP(A39&amp;" AB Equity","HIGH_30D")</f>
        <v>2.76</v>
      </c>
      <c r="U39">
        <f>_xll.BDP(A39&amp;" AB Equity","LOW_30D")</f>
        <v>2.6</v>
      </c>
      <c r="V39" s="11" t="str" cm="1">
        <f t="array" aca="1" ref="V39" ca="1">_xll.BDH(A39&amp;" AB Equity","MOV_AVG_200D",TODAY()-32,TODAY()-32,"Days=T")</f>
        <v>#N/A N/A</v>
      </c>
      <c r="W39">
        <v>2.8210999999999999</v>
      </c>
      <c r="X39">
        <f>IF(B39="","",_xlfn.SINGLE(_xll.BDP(A39&amp;" AB Equity","MOV_AVG_200D")))</f>
        <v>2.7530999999999999</v>
      </c>
    </row>
    <row r="40" spans="1:24" x14ac:dyDescent="0.25">
      <c r="A40" t="s">
        <v>53</v>
      </c>
      <c r="B40">
        <f>_xll.BDP(A40&amp;" AB Equity","LAST_PRICE")</f>
        <v>7.33</v>
      </c>
      <c r="C40">
        <f>_xll.BDP(A40&amp;" AB Equity","LAST_PRICE")</f>
        <v>7.33</v>
      </c>
      <c r="D40">
        <f>_xll.BDP(A40&amp;" AB Equity","RT_PX_CHG_PCT_1D")</f>
        <v>1.947100043296814</v>
      </c>
      <c r="E40">
        <f>_xll.BDP(A40&amp;" AB Equity","CHG_PCT_1M_RT")</f>
        <v>0</v>
      </c>
      <c r="F40">
        <f>_xll.BDP(A40&amp;" AB Equity","CHG_PCT_YTD_RT")</f>
        <v>-13.6631</v>
      </c>
      <c r="G40">
        <f>_xll.BDP(A40&amp;" AB Equity","YEST_LAST_TRADE")</f>
        <v>7.19</v>
      </c>
      <c r="H40">
        <f>_xll.BDP(A40&amp;" AB Equity","HIGH_52WEEK")</f>
        <v>13.87</v>
      </c>
      <c r="I40">
        <f>_xll.BDP(A40&amp;" AB Equity","LOW_52WEEK")</f>
        <v>6.19</v>
      </c>
      <c r="J40">
        <f>_xll.BDP(A40&amp;" AB Equity","VOLUME")</f>
        <v>676273</v>
      </c>
      <c r="K40">
        <f>_xll.BDP(A40&amp;" AB Equity","OPEN")</f>
        <v>7.18</v>
      </c>
      <c r="L40">
        <f>_xll.BDP(A40&amp;" AB Equity","LOW")</f>
        <v>7.17</v>
      </c>
      <c r="M40">
        <f>_xll.BDP(A40&amp;" AB Equity","HIGH")</f>
        <v>7.5</v>
      </c>
      <c r="N40">
        <f>_xll.BDP(A40&amp;" AB Equity","VWAP")</f>
        <v>7.3605999999999998</v>
      </c>
      <c r="O40" t="str">
        <f>_xll.BDP(A40&amp;" AB Equity","SAUDI_ARABIA_EXCHANGE_ID")</f>
        <v>4270</v>
      </c>
      <c r="P40">
        <f>_xll.BDP(A40&amp;" AB Equity","VOLUME_AVG_30D")</f>
        <v>195566.5</v>
      </c>
      <c r="Q40">
        <f>_xll.BDP(A40&amp;" AB Equity","BID")</f>
        <v>7.31</v>
      </c>
      <c r="R40">
        <f>_xll.BDP(A40&amp;" AB Equity","ASK")</f>
        <v>7.33</v>
      </c>
      <c r="S40">
        <f>_xll.BDP(A40&amp;" AB Equity","CHG_PCT_MOV_AVG_200D")</f>
        <v>-12.70485</v>
      </c>
      <c r="T40">
        <f>_xll.BDP(A40&amp;" AB Equity","HIGH_30D")</f>
        <v>7.67</v>
      </c>
      <c r="U40">
        <f>_xll.BDP(A40&amp;" AB Equity","LOW_30D")</f>
        <v>6.92</v>
      </c>
      <c r="V40" s="11" t="str" cm="1">
        <f t="array" aca="1" ref="V40" ca="1">_xll.BDH(A40&amp;" AB Equity","MOV_AVG_200D",TODAY()-32,TODAY()-32,"Days=T")</f>
        <v>#N/A N/A</v>
      </c>
      <c r="W40">
        <v>2.8203999999999998</v>
      </c>
      <c r="X40">
        <f>IF(B40="","",_xlfn.SINGLE(_xll.BDP(A40&amp;" AB Equity","MOV_AVG_200D")))</f>
        <v>8.4999000000000002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14.04</v>
      </c>
      <c r="C42">
        <f>_xll.BDP(A42&amp;" AB Equity","LAST_PRICE")</f>
        <v>14.04</v>
      </c>
      <c r="D42">
        <f>_xll.BDP(A42&amp;" AB Equity","RT_PX_CHG_PCT_1D")</f>
        <v>3.0836999416351318</v>
      </c>
      <c r="E42">
        <f>_xll.BDP(A42&amp;" AB Equity","CHG_PCT_1M_RT")</f>
        <v>4</v>
      </c>
      <c r="F42">
        <f>_xll.BDP(A42&amp;" AB Equity","CHG_PCT_YTD_RT")</f>
        <v>-21.5642</v>
      </c>
      <c r="G42">
        <f>_xll.BDP(A42&amp;" AB Equity","YEST_LAST_TRADE")</f>
        <v>13.62</v>
      </c>
      <c r="H42">
        <f>_xll.BDP(A42&amp;" AB Equity","HIGH_52WEEK")</f>
        <v>35.28</v>
      </c>
      <c r="I42">
        <f>_xll.BDP(A42&amp;" AB Equity","LOW_52WEEK")</f>
        <v>11.43</v>
      </c>
      <c r="J42">
        <f>_xll.BDP(A42&amp;" AB Equity","VOLUME")</f>
        <v>805890</v>
      </c>
      <c r="K42">
        <f>_xll.BDP(A42&amp;" AB Equity","OPEN")</f>
        <v>13.62</v>
      </c>
      <c r="L42">
        <f>_xll.BDP(A42&amp;" AB Equity","LOW")</f>
        <v>13.58</v>
      </c>
      <c r="M42">
        <f>_xll.BDP(A42&amp;" AB Equity","HIGH")</f>
        <v>14.22</v>
      </c>
      <c r="N42">
        <f>_xll.BDP(A42&amp;" AB Equity","VWAP")</f>
        <v>14.004099999999999</v>
      </c>
      <c r="O42" t="str">
        <f>_xll.BDP(A42&amp;" AB Equity","SAUDI_ARABIA_EXCHANGE_ID")</f>
        <v>4193</v>
      </c>
      <c r="P42">
        <f>_xll.BDP(A42&amp;" AB Equity","VOLUME_AVG_30D")</f>
        <v>884833.8</v>
      </c>
      <c r="Q42">
        <f>_xll.BDP(A42&amp;" AB Equity","BID")</f>
        <v>14.04</v>
      </c>
      <c r="R42">
        <f>_xll.BDP(A42&amp;" AB Equity","ASK")</f>
        <v>14.07</v>
      </c>
      <c r="S42">
        <f>_xll.BDP(A42&amp;" AB Equity","CHG_PCT_MOV_AVG_200D")</f>
        <v>-20.904589999999999</v>
      </c>
      <c r="T42">
        <f>_xll.BDP(A42&amp;" AB Equity","HIGH_30D")</f>
        <v>14.88</v>
      </c>
      <c r="U42">
        <f>_xll.BDP(A42&amp;" AB Equity","LOW_30D")</f>
        <v>12.91</v>
      </c>
      <c r="V42" s="11" t="str" cm="1">
        <f t="array" aca="1" ref="V42" ca="1">_xll.BDH(A42&amp;" AB Equity","MOV_AVG_200D",TODAY()-32,TODAY()-32,"Days=T")</f>
        <v>#N/A N/A</v>
      </c>
      <c r="W42">
        <v>2.8172999999999999</v>
      </c>
      <c r="X42">
        <f>IF(B42="","",_xlfn.SINGLE(_xll.BDP(A42&amp;" AB Equity","MOV_AVG_200D")))</f>
        <v>17.6875</v>
      </c>
    </row>
    <row r="43" spans="1:24" x14ac:dyDescent="0.25">
      <c r="A43" t="s">
        <v>55</v>
      </c>
      <c r="B43">
        <f>_xll.BDP(A43&amp;" AB Equity","LAST_PRICE")</f>
        <v>42.9</v>
      </c>
      <c r="C43">
        <f>_xll.BDP(A43&amp;" AB Equity","LAST_PRICE")</f>
        <v>42.9</v>
      </c>
      <c r="D43">
        <f>_xll.BDP(A43&amp;" AB Equity","RT_PX_CHG_PCT_1D")</f>
        <v>0.23360000550746918</v>
      </c>
      <c r="E43">
        <f>_xll.BDP(A43&amp;" AB Equity","CHG_PCT_1M_RT")</f>
        <v>4.1768000000000001</v>
      </c>
      <c r="F43">
        <f>_xll.BDP(A43&amp;" AB Equity","CHG_PCT_YTD_RT")</f>
        <v>-6.7390999999999996</v>
      </c>
      <c r="G43">
        <f>_xll.BDP(A43&amp;" AB Equity","YEST_LAST_TRADE")</f>
        <v>42.8</v>
      </c>
      <c r="H43">
        <f>_xll.BDP(A43&amp;" AB Equity","HIGH_52WEEK")</f>
        <v>53.95</v>
      </c>
      <c r="I43">
        <f>_xll.BDP(A43&amp;" AB Equity","LOW_52WEEK")</f>
        <v>33.24</v>
      </c>
      <c r="J43">
        <f>_xll.BDP(A43&amp;" AB Equity","VOLUME")</f>
        <v>201414</v>
      </c>
      <c r="K43">
        <f>_xll.BDP(A43&amp;" AB Equity","OPEN")</f>
        <v>42.8</v>
      </c>
      <c r="L43">
        <f>_xll.BDP(A43&amp;" AB Equity","LOW")</f>
        <v>42.42</v>
      </c>
      <c r="M43">
        <f>_xll.BDP(A43&amp;" AB Equity","HIGH")</f>
        <v>43.34</v>
      </c>
      <c r="N43">
        <f>_xll.BDP(A43&amp;" AB Equity","VWAP")</f>
        <v>42.951999999999998</v>
      </c>
      <c r="O43" t="str">
        <f>_xll.BDP(A43&amp;" AB Equity","SAUDI_ARABIA_EXCHANGE_ID")</f>
        <v>4191</v>
      </c>
      <c r="P43">
        <f>_xll.BDP(A43&amp;" AB Equity","VOLUME_AVG_30D")</f>
        <v>363556.2</v>
      </c>
      <c r="Q43">
        <f>_xll.BDP(A43&amp;" AB Equity","BID")</f>
        <v>42.86</v>
      </c>
      <c r="R43">
        <f>_xll.BDP(A43&amp;" AB Equity","ASK")</f>
        <v>42.9</v>
      </c>
      <c r="S43">
        <f>_xll.BDP(A43&amp;" AB Equity","CHG_PCT_MOV_AVG_200D")</f>
        <v>-2.4261750000000002</v>
      </c>
      <c r="T43">
        <f>_xll.BDP(A43&amp;" AB Equity","HIGH_30D")</f>
        <v>47.26</v>
      </c>
      <c r="U43">
        <f>_xll.BDP(A43&amp;" AB Equity","LOW_30D")</f>
        <v>39</v>
      </c>
      <c r="V43" s="11" t="str" cm="1">
        <f t="array" aca="1" ref="V43" ca="1">_xll.BDH(A43&amp;" AB Equity","MOV_AVG_200D",TODAY()-32,TODAY()-32,"Days=T")</f>
        <v>#N/A N/A</v>
      </c>
      <c r="W43">
        <v>2.8155000000000001</v>
      </c>
      <c r="X43">
        <f>IF(B43="","",_xlfn.SINGLE(_xll.BDP(A43&amp;" AB Equity","MOV_AVG_200D")))</f>
        <v>44.048699999999997</v>
      </c>
    </row>
    <row r="44" spans="1:24" x14ac:dyDescent="0.25">
      <c r="A44" t="s">
        <v>56</v>
      </c>
      <c r="B44">
        <f>_xll.BDP(A44&amp;" AB Equity","LAST_PRICE")</f>
        <v>44.66</v>
      </c>
      <c r="C44">
        <f>_xll.BDP(A44&amp;" AB Equity","LAST_PRICE")</f>
        <v>44.66</v>
      </c>
      <c r="D44">
        <f>_xll.BDP(A44&amp;" AB Equity","RT_PX_CHG_PCT_1D")</f>
        <v>1.6849000453948975</v>
      </c>
      <c r="E44">
        <f>_xll.BDP(A44&amp;" AB Equity","CHG_PCT_1M_RT")</f>
        <v>8.6089000000000002</v>
      </c>
      <c r="F44">
        <f>_xll.BDP(A44&amp;" AB Equity","CHG_PCT_YTD_RT")</f>
        <v>-17.449200000000001</v>
      </c>
      <c r="G44">
        <f>_xll.BDP(A44&amp;" AB Equity","YEST_LAST_TRADE")</f>
        <v>43.92</v>
      </c>
      <c r="H44">
        <f>_xll.BDP(A44&amp;" AB Equity","HIGH_52WEEK")</f>
        <v>93</v>
      </c>
      <c r="I44">
        <f>_xll.BDP(A44&amp;" AB Equity","LOW_52WEEK")</f>
        <v>40.479999999999997</v>
      </c>
      <c r="J44">
        <f>_xll.BDP(A44&amp;" AB Equity","VOLUME")</f>
        <v>83371</v>
      </c>
      <c r="K44">
        <f>_xll.BDP(A44&amp;" AB Equity","OPEN")</f>
        <v>43.98</v>
      </c>
      <c r="L44">
        <f>_xll.BDP(A44&amp;" AB Equity","LOW")</f>
        <v>43.8</v>
      </c>
      <c r="M44">
        <f>_xll.BDP(A44&amp;" AB Equity","HIGH")</f>
        <v>45.08</v>
      </c>
      <c r="N44">
        <f>_xll.BDP(A44&amp;" AB Equity","VWAP")</f>
        <v>44.741700000000002</v>
      </c>
      <c r="O44" t="str">
        <f>_xll.BDP(A44&amp;" AB Equity","SAUDI_ARABIA_EXCHANGE_ID")</f>
        <v>4194</v>
      </c>
      <c r="P44">
        <f>_xll.BDP(A44&amp;" AB Equity","VOLUME_AVG_30D")</f>
        <v>160503.5</v>
      </c>
      <c r="Q44">
        <f>_xll.BDP(A44&amp;" AB Equity","BID")</f>
        <v>44.66</v>
      </c>
      <c r="R44">
        <f>_xll.BDP(A44&amp;" AB Equity","ASK")</f>
        <v>44.86</v>
      </c>
      <c r="S44">
        <f>_xll.BDP(A44&amp;" AB Equity","CHG_PCT_MOV_AVG_200D")</f>
        <v>-18.539359999999999</v>
      </c>
      <c r="T44">
        <f>_xll.BDP(A44&amp;" AB Equity","HIGH_30D")</f>
        <v>49.32</v>
      </c>
      <c r="U44">
        <f>_xll.BDP(A44&amp;" AB Equity","LOW_30D")</f>
        <v>40.479999999999997</v>
      </c>
      <c r="V44" s="11" t="str" cm="1">
        <f t="array" aca="1" ref="V44" ca="1">_xll.BDH(A44&amp;" AB Equity","MOV_AVG_200D",TODAY()-32,TODAY()-32,"Days=T")</f>
        <v>#N/A N/A</v>
      </c>
      <c r="W44">
        <v>2.8134999999999999</v>
      </c>
      <c r="X44">
        <f>IF(B44="","",_xlfn.SINGLE(_xll.BDP(A44&amp;" AB Equity","MOV_AVG_200D")))</f>
        <v>55.192300000000003</v>
      </c>
    </row>
    <row r="45" spans="1:24" x14ac:dyDescent="0.25">
      <c r="A45" t="s">
        <v>57</v>
      </c>
      <c r="B45">
        <f>_xll.BDP(A45&amp;" AB Equity","LAST_PRICE")</f>
        <v>44.14</v>
      </c>
      <c r="C45">
        <f>_xll.BDP(A45&amp;" AB Equity","LAST_PRICE")</f>
        <v>44.14</v>
      </c>
      <c r="D45">
        <f>_xll.BDP(A45&amp;" AB Equity","RT_PX_CHG_PCT_1D")</f>
        <v>-1.9111000299453735</v>
      </c>
      <c r="E45">
        <f>_xll.BDP(A45&amp;" AB Equity","CHG_PCT_1M_RT")</f>
        <v>-7.4633000000000003</v>
      </c>
      <c r="F45">
        <f>_xll.BDP(A45&amp;" AB Equity","CHG_PCT_YTD_RT")</f>
        <v>-20.468499999999999</v>
      </c>
      <c r="G45">
        <f>_xll.BDP(A45&amp;" AB Equity","YEST_LAST_TRADE")</f>
        <v>45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224666</v>
      </c>
      <c r="K45">
        <f>_xll.BDP(A45&amp;" AB Equity","OPEN")</f>
        <v>45.26</v>
      </c>
      <c r="L45">
        <f>_xll.BDP(A45&amp;" AB Equity","LOW")</f>
        <v>43.8</v>
      </c>
      <c r="M45">
        <f>_xll.BDP(A45&amp;" AB Equity","HIGH")</f>
        <v>45.26</v>
      </c>
      <c r="N45">
        <f>_xll.BDP(A45&amp;" AB Equity","VWAP")</f>
        <v>44.475200000000001</v>
      </c>
      <c r="O45" t="str">
        <f>_xll.BDP(A45&amp;" AB Equity","SAUDI_ARABIA_EXCHANGE_ID")</f>
        <v>4050</v>
      </c>
      <c r="P45">
        <f>_xll.BDP(A45&amp;" AB Equity","VOLUME_AVG_30D")</f>
        <v>507541.3</v>
      </c>
      <c r="Q45">
        <f>_xll.BDP(A45&amp;" AB Equity","BID")</f>
        <v>44.14</v>
      </c>
      <c r="R45">
        <f>_xll.BDP(A45&amp;" AB Equity","ASK")</f>
        <v>44.16</v>
      </c>
      <c r="S45">
        <f>_xll.BDP(A45&amp;" AB Equity","CHG_PCT_MOV_AVG_200D")</f>
        <v>-19.84731</v>
      </c>
      <c r="T45">
        <f>_xll.BDP(A45&amp;" AB Equity","HIGH_30D")</f>
        <v>51.75</v>
      </c>
      <c r="U45">
        <f>_xll.BDP(A45&amp;" AB Equity","LOW_30D")</f>
        <v>41.74</v>
      </c>
      <c r="V45" s="11" t="str" cm="1">
        <f t="array" aca="1" ref="V45" ca="1">_xll.BDH(A45&amp;" AB Equity","MOV_AVG_200D",TODAY()-32,TODAY()-32,"Days=T")</f>
        <v>#N/A N/A</v>
      </c>
      <c r="W45">
        <v>21.382300000000001</v>
      </c>
      <c r="X45">
        <f>IF(B45="","",_xlfn.SINGLE(_xll.BDP(A45&amp;" AB Equity","MOV_AVG_200D")))</f>
        <v>55.169699999999999</v>
      </c>
    </row>
    <row r="46" spans="1:24" x14ac:dyDescent="0.25">
      <c r="A46" t="s">
        <v>58</v>
      </c>
      <c r="B46">
        <f>_xll.BDP(A46&amp;" AB Equity","LAST_PRICE")</f>
        <v>114</v>
      </c>
      <c r="C46">
        <f>_xll.BDP(A46&amp;" AB Equity","LAST_PRICE")</f>
        <v>114</v>
      </c>
      <c r="D46">
        <f>_xll.BDP(A46&amp;" AB Equity","RT_PX_CHG_PCT_1D")</f>
        <v>-0.61030000448226929</v>
      </c>
      <c r="E46">
        <f>_xll.BDP(A46&amp;" AB Equity","CHG_PCT_1M_RT")</f>
        <v>-1.7241</v>
      </c>
      <c r="F46">
        <f>_xll.BDP(A46&amp;" AB Equity","CHG_PCT_YTD_RT")</f>
        <v>-10.867900000000001</v>
      </c>
      <c r="G46">
        <f>_xll.BDP(A46&amp;" AB Equity","YEST_LAST_TRADE")</f>
        <v>114.7</v>
      </c>
      <c r="H46">
        <f>_xll.BDP(A46&amp;" AB Equity","HIGH_52WEEK")</f>
        <v>154.1</v>
      </c>
      <c r="I46">
        <f>_xll.BDP(A46&amp;" AB Equity","LOW_52WEEK")</f>
        <v>110.7</v>
      </c>
      <c r="J46">
        <f>_xll.BDP(A46&amp;" AB Equity","VOLUME")</f>
        <v>356388</v>
      </c>
      <c r="K46">
        <f>_xll.BDP(A46&amp;" AB Equity","OPEN")</f>
        <v>114.7</v>
      </c>
      <c r="L46">
        <f>_xll.BDP(A46&amp;" AB Equity","LOW")</f>
        <v>113.4</v>
      </c>
      <c r="M46">
        <f>_xll.BDP(A46&amp;" AB Equity","HIGH")</f>
        <v>114.7</v>
      </c>
      <c r="N46">
        <f>_xll.BDP(A46&amp;" AB Equity","VWAP")</f>
        <v>113.9251</v>
      </c>
      <c r="O46" t="str">
        <f>_xll.BDP(A46&amp;" AB Equity","SAUDI_ARABIA_EXCHANGE_ID")</f>
        <v>4200</v>
      </c>
      <c r="P46">
        <f>_xll.BDP(A46&amp;" AB Equity","VOLUME_AVG_30D")</f>
        <v>302219.90000000002</v>
      </c>
      <c r="Q46">
        <f>_xll.BDP(A46&amp;" AB Equity","BID")</f>
        <v>113.7</v>
      </c>
      <c r="R46">
        <f>_xll.BDP(A46&amp;" AB Equity","ASK")</f>
        <v>114</v>
      </c>
      <c r="S46">
        <f>_xll.BDP(A46&amp;" AB Equity","CHG_PCT_MOV_AVG_200D")</f>
        <v>-9.6671259999999997</v>
      </c>
      <c r="T46">
        <f>_xll.BDP(A46&amp;" AB Equity","HIGH_30D")</f>
        <v>121.6</v>
      </c>
      <c r="U46">
        <f>_xll.BDP(A46&amp;" AB Equity","LOW_30D")</f>
        <v>112</v>
      </c>
      <c r="V46" s="11" t="str" cm="1">
        <f t="array" aca="1" ref="V46" ca="1">_xll.BDH(A46&amp;" AB Equity","MOV_AVG_200D",TODAY()-32,TODAY()-32,"Days=T")</f>
        <v>#N/A N/A</v>
      </c>
      <c r="W46">
        <v>21.281300000000002</v>
      </c>
      <c r="X46">
        <f>IF(B46="","",_xlfn.SINGLE(_xll.BDP(A46&amp;" AB Equity","MOV_AVG_200D")))</f>
        <v>125.9785</v>
      </c>
    </row>
    <row r="47" spans="1:24" x14ac:dyDescent="0.25">
      <c r="A47" t="s">
        <v>59</v>
      </c>
      <c r="B47">
        <f>_xll.BDP(A47&amp;" AB Equity","LAST_PRICE")</f>
        <v>23.8</v>
      </c>
      <c r="C47">
        <f>_xll.BDP(A47&amp;" AB Equity","LAST_PRICE")</f>
        <v>23.8</v>
      </c>
      <c r="D47">
        <f>_xll.BDP(A47&amp;" AB Equity","RT_PX_CHG_PCT_1D")</f>
        <v>1.9709000587463379</v>
      </c>
      <c r="E47">
        <f>_xll.BDP(A47&amp;" AB Equity","CHG_PCT_1M_RT")</f>
        <v>4.0209999999999999</v>
      </c>
      <c r="F47">
        <f>_xll.BDP(A47&amp;" AB Equity","CHG_PCT_YTD_RT")</f>
        <v>-8.3204999999999991</v>
      </c>
      <c r="G47">
        <f>_xll.BDP(A47&amp;" AB Equity","YEST_LAST_TRADE")</f>
        <v>23.34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214941</v>
      </c>
      <c r="K47">
        <f>_xll.BDP(A47&amp;" AB Equity","OPEN")</f>
        <v>23.34</v>
      </c>
      <c r="L47">
        <f>_xll.BDP(A47&amp;" AB Equity","LOW")</f>
        <v>23.16</v>
      </c>
      <c r="M47">
        <f>_xll.BDP(A47&amp;" AB Equity","HIGH")</f>
        <v>23.84</v>
      </c>
      <c r="N47">
        <f>_xll.BDP(A47&amp;" AB Equity","VWAP")</f>
        <v>23.5715</v>
      </c>
      <c r="O47" t="str">
        <f>_xll.BDP(A47&amp;" AB Equity","SAUDI_ARABIA_EXCHANGE_ID")</f>
        <v>4008</v>
      </c>
      <c r="P47">
        <f>_xll.BDP(A47&amp;" AB Equity","VOLUME_AVG_30D")</f>
        <v>133456.20000000001</v>
      </c>
      <c r="Q47">
        <f>_xll.BDP(A47&amp;" AB Equity","BID")</f>
        <v>23.8</v>
      </c>
      <c r="R47">
        <f>_xll.BDP(A47&amp;" AB Equity","ASK")</f>
        <v>23.83</v>
      </c>
      <c r="S47">
        <f>_xll.BDP(A47&amp;" AB Equity","CHG_PCT_MOV_AVG_200D")</f>
        <v>-9.903912</v>
      </c>
      <c r="T47">
        <f>_xll.BDP(A47&amp;" AB Equity","HIGH_30D")</f>
        <v>24.84</v>
      </c>
      <c r="U47">
        <f>_xll.BDP(A47&amp;" AB Equity","LOW_30D")</f>
        <v>22.34</v>
      </c>
      <c r="V47" s="11" t="str" cm="1">
        <f t="array" aca="1" ref="V47" ca="1">_xll.BDH(A47&amp;" AB Equity","MOV_AVG_200D",TODAY()-32,TODAY()-32,"Days=T")</f>
        <v>#N/A N/A</v>
      </c>
      <c r="W47">
        <v>21.178899999999999</v>
      </c>
      <c r="X47">
        <f>IF(B47="","",_xlfn.SINGLE(_xll.BDP(A47&amp;" AB Equity","MOV_AVG_200D")))</f>
        <v>26.294149999999998</v>
      </c>
    </row>
    <row r="48" spans="1:24" x14ac:dyDescent="0.25">
      <c r="A48" t="s">
        <v>61</v>
      </c>
      <c r="B48">
        <f>_xll.BDP(A48&amp;" AB Equity","LAST_PRICE")</f>
        <v>5.66</v>
      </c>
      <c r="C48">
        <f>_xll.BDP(A48&amp;" AB Equity","LAST_PRICE")</f>
        <v>5.66</v>
      </c>
      <c r="D48">
        <f>_xll.BDP(A48&amp;" AB Equity","RT_PX_CHG_PCT_1D")</f>
        <v>3.6630001068115234</v>
      </c>
      <c r="E48">
        <f>_xll.BDP(A48&amp;" AB Equity","CHG_PCT_1M_RT")</f>
        <v>-0.35210000000000002</v>
      </c>
      <c r="F48">
        <f>_xll.BDP(A48&amp;" AB Equity","CHG_PCT_YTD_RT")</f>
        <v>-15.648300000000001</v>
      </c>
      <c r="G48">
        <f>_xll.BDP(A48&amp;" AB Equity","YEST_LAST_TRADE")</f>
        <v>5.46</v>
      </c>
      <c r="H48">
        <f>_xll.BDP(A48&amp;" AB Equity","HIGH_52WEEK")</f>
        <v>7.1</v>
      </c>
      <c r="I48">
        <f>_xll.BDP(A48&amp;" AB Equity","LOW_52WEEK")</f>
        <v>4.9000000000000004</v>
      </c>
      <c r="J48">
        <f>_xll.BDP(A48&amp;" AB Equity","VOLUME")</f>
        <v>1034286</v>
      </c>
      <c r="K48">
        <f>_xll.BDP(A48&amp;" AB Equity","OPEN")</f>
        <v>5.48</v>
      </c>
      <c r="L48">
        <f>_xll.BDP(A48&amp;" AB Equity","LOW")</f>
        <v>5.45</v>
      </c>
      <c r="M48">
        <f>_xll.BDP(A48&amp;" AB Equity","HIGH")</f>
        <v>5.7</v>
      </c>
      <c r="N48">
        <f>_xll.BDP(A48&amp;" AB Equity","VWAP")</f>
        <v>5.6054000000000004</v>
      </c>
      <c r="O48" t="str">
        <f>_xll.BDP(A48&amp;" AB Equity","SAUDI_ARABIA_EXCHANGE_ID")</f>
        <v>4051</v>
      </c>
      <c r="P48">
        <f>_xll.BDP(A48&amp;" AB Equity","VOLUME_AVG_30D")</f>
        <v>492323.9</v>
      </c>
      <c r="Q48">
        <f>_xll.BDP(A48&amp;" AB Equity","BID")</f>
        <v>5.6</v>
      </c>
      <c r="R48">
        <f>_xll.BDP(A48&amp;" AB Equity","ASK")</f>
        <v>5.66</v>
      </c>
      <c r="S48">
        <f>_xll.BDP(A48&amp;" AB Equity","CHG_PCT_MOV_AVG_200D")</f>
        <v>-6.7316200000000004</v>
      </c>
      <c r="T48">
        <f>_xll.BDP(A48&amp;" AB Equity","HIGH_30D")</f>
        <v>6.05</v>
      </c>
      <c r="U48">
        <f>_xll.BDP(A48&amp;" AB Equity","LOW_30D")</f>
        <v>5.35</v>
      </c>
      <c r="V48" s="11" t="str" cm="1">
        <f t="array" aca="1" ref="V48" ca="1">_xll.BDH(A48&amp;" AB Equity","MOV_AVG_200D",TODAY()-32,TODAY()-32,"Days=T")</f>
        <v>#N/A N/A</v>
      </c>
      <c r="W48">
        <v>6.0248999999999997</v>
      </c>
      <c r="X48">
        <f>IF(B48="","",_xlfn.SINGLE(_xll.BDP(A48&amp;" AB Equity","MOV_AVG_200D")))</f>
        <v>6.0148999999999999</v>
      </c>
    </row>
    <row r="49" spans="1:24" x14ac:dyDescent="0.25">
      <c r="A49" t="s">
        <v>62</v>
      </c>
      <c r="B49">
        <f>_xll.BDP(A49&amp;" AB Equity","LAST_PRICE")</f>
        <v>13.91</v>
      </c>
      <c r="C49">
        <f>_xll.BDP(A49&amp;" AB Equity","LAST_PRICE")</f>
        <v>13.91</v>
      </c>
      <c r="D49">
        <f>_xll.BDP(A49&amp;" AB Equity","RT_PX_CHG_PCT_1D")</f>
        <v>-2.6591999530792236</v>
      </c>
      <c r="E49">
        <f>_xll.BDP(A49&amp;" AB Equity","CHG_PCT_1M_RT")</f>
        <v>10.484500000000001</v>
      </c>
      <c r="F49">
        <f>_xll.BDP(A49&amp;" AB Equity","CHG_PCT_YTD_RT")</f>
        <v>-27.286999999999999</v>
      </c>
      <c r="G49">
        <f>_xll.BDP(A49&amp;" AB Equity","YEST_LAST_TRADE")</f>
        <v>14.29</v>
      </c>
      <c r="H49">
        <f>_xll.BDP(A49&amp;" AB Equity","HIGH_52WEEK")</f>
        <v>35.380000000000003</v>
      </c>
      <c r="I49">
        <f>_xll.BDP(A49&amp;" AB Equity","LOW_52WEEK")</f>
        <v>12.24</v>
      </c>
      <c r="J49">
        <f>_xll.BDP(A49&amp;" AB Equity","VOLUME")</f>
        <v>2380975</v>
      </c>
      <c r="K49">
        <f>_xll.BDP(A49&amp;" AB Equity","OPEN")</f>
        <v>14.5</v>
      </c>
      <c r="L49">
        <f>_xll.BDP(A49&amp;" AB Equity","LOW")</f>
        <v>13.86</v>
      </c>
      <c r="M49">
        <f>_xll.BDP(A49&amp;" AB Equity","HIGH")</f>
        <v>14.5</v>
      </c>
      <c r="N49">
        <f>_xll.BDP(A49&amp;" AB Equity","VWAP")</f>
        <v>14.0579</v>
      </c>
      <c r="O49" t="str">
        <f>_xll.BDP(A49&amp;" AB Equity","SAUDI_ARABIA_EXCHANGE_ID")</f>
        <v>4240</v>
      </c>
      <c r="P49">
        <f>_xll.BDP(A49&amp;" AB Equity","VOLUME_AVG_30D")</f>
        <v>1703381</v>
      </c>
      <c r="Q49">
        <f>_xll.BDP(A49&amp;" AB Equity","BID")</f>
        <v>13.91</v>
      </c>
      <c r="R49">
        <f>_xll.BDP(A49&amp;" AB Equity","ASK")</f>
        <v>13.92</v>
      </c>
      <c r="S49">
        <f>_xll.BDP(A49&amp;" AB Equity","CHG_PCT_MOV_AVG_200D")</f>
        <v>-25.379629999999999</v>
      </c>
      <c r="T49">
        <f>_xll.BDP(A49&amp;" AB Equity","HIGH_30D")</f>
        <v>15.32</v>
      </c>
      <c r="U49">
        <f>_xll.BDP(A49&amp;" AB Equity","LOW_30D")</f>
        <v>12.24</v>
      </c>
      <c r="V49" s="11" t="str" cm="1">
        <f t="array" aca="1" ref="V49" ca="1">_xll.BDH(A49&amp;" AB Equity","MOV_AVG_200D",TODAY()-32,TODAY()-32,"Days=T")</f>
        <v>#N/A N/A</v>
      </c>
      <c r="W49">
        <v>6.0263999999999998</v>
      </c>
      <c r="X49">
        <f>IF(B49="","",_xlfn.SINGLE(_xll.BDP(A49&amp;" AB Equity","MOV_AVG_200D")))</f>
        <v>18.96265</v>
      </c>
    </row>
    <row r="50" spans="1:24" x14ac:dyDescent="0.25">
      <c r="A50" t="s">
        <v>63</v>
      </c>
      <c r="B50">
        <f>_xll.BDP(A50&amp;" AB Equity","LAST_PRICE")</f>
        <v>6.83</v>
      </c>
      <c r="C50">
        <f>_xll.BDP(A50&amp;" AB Equity","LAST_PRICE")</f>
        <v>6.83</v>
      </c>
      <c r="D50">
        <f>_xll.BDP(A50&amp;" AB Equity","RT_PX_CHG_PCT_1D")</f>
        <v>0</v>
      </c>
      <c r="E50">
        <f>_xll.BDP(A50&amp;" AB Equity","CHG_PCT_1M_RT")</f>
        <v>-2.9830000000000001</v>
      </c>
      <c r="F50">
        <f>_xll.BDP(A50&amp;" AB Equity","CHG_PCT_YTD_RT")</f>
        <v>8.7579999999999991</v>
      </c>
      <c r="G50">
        <f>_xll.BDP(A50&amp;" AB Equity","YEST_LAST_TRADE")</f>
        <v>6.83</v>
      </c>
      <c r="H50">
        <f>_xll.BDP(A50&amp;" AB Equity","HIGH_52WEEK")</f>
        <v>7.37</v>
      </c>
      <c r="I50">
        <f>_xll.BDP(A50&amp;" AB Equity","LOW_52WEEK")</f>
        <v>6.11</v>
      </c>
      <c r="J50">
        <f>_xll.BDP(A50&amp;" AB Equity","VOLUME")</f>
        <v>102490</v>
      </c>
      <c r="K50">
        <f>_xll.BDP(A50&amp;" AB Equity","OPEN")</f>
        <v>6.81</v>
      </c>
      <c r="L50">
        <f>_xll.BDP(A50&amp;" AB Equity","LOW")</f>
        <v>6.81</v>
      </c>
      <c r="M50">
        <f>_xll.BDP(A50&amp;" AB Equity","HIGH")</f>
        <v>6.87</v>
      </c>
      <c r="N50">
        <f>_xll.BDP(A50&amp;" AB Equity","VWAP")</f>
        <v>6.8429000000000002</v>
      </c>
      <c r="O50" t="str">
        <f>_xll.BDP(A50&amp;" AB Equity","SAUDI_ARABIA_EXCHANGE_ID")</f>
        <v>4192</v>
      </c>
      <c r="P50">
        <f>_xll.BDP(A50&amp;" AB Equity","VOLUME_AVG_30D")</f>
        <v>201431.2</v>
      </c>
      <c r="Q50">
        <f>_xll.BDP(A50&amp;" AB Equity","BID")</f>
        <v>6.83</v>
      </c>
      <c r="R50">
        <f>_xll.BDP(A50&amp;" AB Equity","ASK")</f>
        <v>6.84</v>
      </c>
      <c r="S50">
        <f>_xll.BDP(A50&amp;" AB Equity","CHG_PCT_MOV_AVG_200D")</f>
        <v>3.5055900000000002</v>
      </c>
      <c r="T50">
        <f>_xll.BDP(A50&amp;" AB Equity","HIGH_30D")</f>
        <v>7.09</v>
      </c>
      <c r="U50">
        <f>_xll.BDP(A50&amp;" AB Equity","LOW_30D")</f>
        <v>6.73</v>
      </c>
      <c r="V50" s="11" t="str" cm="1">
        <f t="array" aca="1" ref="V50" ca="1">_xll.BDH(A50&amp;" AB Equity","MOV_AVG_200D",TODAY()-32,TODAY()-32,"Days=T")</f>
        <v>#N/A N/A</v>
      </c>
      <c r="W50">
        <v>6.0269000000000004</v>
      </c>
      <c r="X50">
        <f>IF(B50="","",_xlfn.SINGLE(_xll.BDP(A50&amp;" AB Equity","MOV_AVG_200D")))</f>
        <v>6.6180000000000003</v>
      </c>
    </row>
    <row r="51" spans="1:24" x14ac:dyDescent="0.25">
      <c r="A51" t="s">
        <v>64</v>
      </c>
      <c r="B51">
        <f>_xll.BDP(A51&amp;" AB Equity","LAST_PRICE")</f>
        <v>16.760000000000002</v>
      </c>
      <c r="C51">
        <f>_xll.BDP(A51&amp;" AB Equity","LAST_PRICE")</f>
        <v>16.760000000000002</v>
      </c>
      <c r="D51">
        <f>_xll.BDP(A51&amp;" AB Equity","RT_PX_CHG_PCT_1D")</f>
        <v>5.9700001031160355E-2</v>
      </c>
      <c r="E51">
        <f>_xll.BDP(A51&amp;" AB Equity","CHG_PCT_1M_RT")</f>
        <v>4.75</v>
      </c>
      <c r="F51">
        <f>_xll.BDP(A51&amp;" AB Equity","CHG_PCT_YTD_RT")</f>
        <v>31.142399999999999</v>
      </c>
      <c r="G51">
        <f>_xll.BDP(A51&amp;" AB Equity","YEST_LAST_TRADE")</f>
        <v>16.75</v>
      </c>
      <c r="H51">
        <f>_xll.BDP(A51&amp;" AB Equity","HIGH_52WEEK")</f>
        <v>16.93</v>
      </c>
      <c r="I51">
        <f>_xll.BDP(A51&amp;" AB Equity","LOW_52WEEK")</f>
        <v>12.26</v>
      </c>
      <c r="J51">
        <f>_xll.BDP(A51&amp;" AB Equity","VOLUME")</f>
        <v>4428744</v>
      </c>
      <c r="K51">
        <f>_xll.BDP(A51&amp;" AB Equity","OPEN")</f>
        <v>16.739999999999998</v>
      </c>
      <c r="L51">
        <f>_xll.BDP(A51&amp;" AB Equity","LOW")</f>
        <v>16.600000000000001</v>
      </c>
      <c r="M51">
        <f>_xll.BDP(A51&amp;" AB Equity","HIGH")</f>
        <v>16.91</v>
      </c>
      <c r="N51">
        <f>_xll.BDP(A51&amp;" AB Equity","VWAP")</f>
        <v>16.8049</v>
      </c>
      <c r="O51" t="str">
        <f>_xll.BDP(A51&amp;" AB Equity","SAUDI_ARABIA_EXCHANGE_ID")</f>
        <v>4190</v>
      </c>
      <c r="P51">
        <f>_xll.BDP(A51&amp;" AB Equity","VOLUME_AVG_30D")</f>
        <v>3200590</v>
      </c>
      <c r="Q51">
        <f>_xll.BDP(A51&amp;" AB Equity","BID")</f>
        <v>16.760000000000002</v>
      </c>
      <c r="R51">
        <f>_xll.BDP(A51&amp;" AB Equity","ASK")</f>
        <v>16.8</v>
      </c>
      <c r="S51">
        <f>_xll.BDP(A51&amp;" AB Equity","CHG_PCT_MOV_AVG_200D")</f>
        <v>19.10885</v>
      </c>
      <c r="T51">
        <f>_xll.BDP(A51&amp;" AB Equity","HIGH_30D")</f>
        <v>16.93</v>
      </c>
      <c r="U51">
        <f>_xll.BDP(A51&amp;" AB Equity","LOW_30D")</f>
        <v>14.89</v>
      </c>
      <c r="V51" s="11" t="str" cm="1">
        <f t="array" aca="1" ref="V51" ca="1">_xll.BDH(A51&amp;" AB Equity","MOV_AVG_200D",TODAY()-32,TODAY()-32,"Days=T")</f>
        <v>#N/A N/A</v>
      </c>
      <c r="W51">
        <v>6.0266000000000002</v>
      </c>
      <c r="X51">
        <f>IF(B51="","",_xlfn.SINGLE(_xll.BDP(A51&amp;" AB Equity","MOV_AVG_200D")))</f>
        <v>14.096349999999999</v>
      </c>
    </row>
    <row r="52" spans="1:24" x14ac:dyDescent="0.25">
      <c r="A52" t="s">
        <v>65</v>
      </c>
      <c r="B52">
        <f>_xll.BDP(A52&amp;" AB Equity","LAST_PRICE")</f>
        <v>72.3</v>
      </c>
      <c r="C52">
        <f>_xll.BDP(A52&amp;" AB Equity","LAST_PRICE")</f>
        <v>72.3</v>
      </c>
      <c r="D52">
        <f>_xll.BDP(A52&amp;" AB Equity","RT_PX_CHG_PCT_1D")</f>
        <v>-0.95889997482299805</v>
      </c>
      <c r="E52">
        <f>_xll.BDP(A52&amp;" AB Equity","CHG_PCT_1M_RT")</f>
        <v>-8.2486999999999995</v>
      </c>
      <c r="F52">
        <f>_xll.BDP(A52&amp;" AB Equity","CHG_PCT_YTD_RT")</f>
        <v>-14.437900000000001</v>
      </c>
      <c r="G52">
        <f>_xll.BDP(A52&amp;" AB Equity","YEST_LAST_TRADE")</f>
        <v>73</v>
      </c>
      <c r="H52">
        <f>_xll.BDP(A52&amp;" AB Equity","HIGH_52WEEK")</f>
        <v>93.5</v>
      </c>
      <c r="I52">
        <f>_xll.BDP(A52&amp;" AB Equity","LOW_52WEEK")</f>
        <v>72.25</v>
      </c>
      <c r="J52">
        <f>_xll.BDP(A52&amp;" AB Equity","VOLUME")</f>
        <v>205332</v>
      </c>
      <c r="K52">
        <f>_xll.BDP(A52&amp;" AB Equity","OPEN")</f>
        <v>73</v>
      </c>
      <c r="L52">
        <f>_xll.BDP(A52&amp;" AB Equity","LOW")</f>
        <v>72</v>
      </c>
      <c r="M52">
        <f>_xll.BDP(A52&amp;" AB Equity","HIGH")</f>
        <v>73.25</v>
      </c>
      <c r="N52">
        <f>_xll.BDP(A52&amp;" AB Equity","VWAP")</f>
        <v>72.362300000000005</v>
      </c>
      <c r="O52" t="str">
        <f>_xll.BDP(A52&amp;" AB Equity","SAUDI_ARABIA_EXCHANGE_ID")</f>
        <v>4003</v>
      </c>
      <c r="P52">
        <f>_xll.BDP(A52&amp;" AB Equity","VOLUME_AVG_30D")</f>
        <v>169434.8</v>
      </c>
      <c r="Q52">
        <f>_xll.BDP(A52&amp;" AB Equity","BID")</f>
        <v>72.099999999999994</v>
      </c>
      <c r="R52">
        <f>_xll.BDP(A52&amp;" AB Equity","ASK")</f>
        <v>72.3</v>
      </c>
      <c r="S52">
        <f>_xll.BDP(A52&amp;" AB Equity","CHG_PCT_MOV_AVG_200D")</f>
        <v>-14.35868</v>
      </c>
      <c r="T52">
        <f>_xll.BDP(A52&amp;" AB Equity","HIGH_30D")</f>
        <v>80.7</v>
      </c>
      <c r="U52">
        <f>_xll.BDP(A52&amp;" AB Equity","LOW_30D")</f>
        <v>72.25</v>
      </c>
      <c r="V52" s="11" t="str" cm="1">
        <f t="array" aca="1" ref="V52" ca="1">_xll.BDH(A52&amp;" AB Equity","MOV_AVG_200D",TODAY()-32,TODAY()-32,"Days=T")</f>
        <v>#N/A N/A</v>
      </c>
      <c r="W52">
        <v>6.0255999999999998</v>
      </c>
      <c r="X52">
        <f>IF(B52="","",_xlfn.SINGLE(_xll.BDP(A52&amp;" AB Equity","MOV_AVG_200D")))</f>
        <v>84.480249999999998</v>
      </c>
    </row>
    <row r="53" spans="1:24" x14ac:dyDescent="0.25">
      <c r="A53" t="s">
        <v>434</v>
      </c>
      <c r="B53">
        <f>_xll.BDP(A53&amp;" AB Equity","LAST_PRICE")</f>
        <v>23.96</v>
      </c>
      <c r="C53">
        <f>_xll.BDP(A53&amp;" AB Equity","LAST_PRICE")</f>
        <v>23.96</v>
      </c>
      <c r="D53">
        <f>_xll.BDP(A53&amp;" AB Equity","RT_PX_CHG_PCT_1D")</f>
        <v>1.9573999643325806</v>
      </c>
      <c r="E53">
        <f>_xll.BDP(A53&amp;" AB Equity","CHG_PCT_1M_RT")</f>
        <v>-5.1464999999999996</v>
      </c>
      <c r="F53">
        <f>_xll.BDP(A53&amp;" AB Equity","CHG_PCT_YTD_RT")</f>
        <v>-0.6633</v>
      </c>
      <c r="G53">
        <f>_xll.BDP(A53&amp;" AB Equity","YEST_LAST_TRADE")</f>
        <v>23.5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107528</v>
      </c>
      <c r="K53">
        <f>_xll.BDP(A53&amp;" AB Equity","OPEN")</f>
        <v>23.5</v>
      </c>
      <c r="L53">
        <f>_xll.BDP(A53&amp;" AB Equity","LOW")</f>
        <v>23.48</v>
      </c>
      <c r="M53">
        <f>_xll.BDP(A53&amp;" AB Equity","HIGH")</f>
        <v>23.96</v>
      </c>
      <c r="N53">
        <f>_xll.BDP(A53&amp;" AB Equity","VWAP")</f>
        <v>23.773900000000001</v>
      </c>
      <c r="O53" t="str">
        <f>_xll.BDP(A53&amp;" AB Equity","SAUDI_ARABIA_EXCHANGE_ID")</f>
        <v>4265</v>
      </c>
      <c r="P53">
        <f>_xll.BDP(A53&amp;" AB Equity","VOLUME_AVG_30D")</f>
        <v>224043.8</v>
      </c>
      <c r="Q53">
        <f>_xll.BDP(A53&amp;" AB Equity","BID")</f>
        <v>23.96</v>
      </c>
      <c r="R53">
        <f>_xll.BDP(A53&amp;" AB Equity","ASK")</f>
        <v>23.97</v>
      </c>
      <c r="S53" t="str">
        <f>_xll.BDP(A53&amp;" AB Equity","CHG_PCT_MOV_AVG_200D")</f>
        <v>#N/A N/A</v>
      </c>
      <c r="T53">
        <f>_xll.BDP(A53&amp;" AB Equity","HIGH_30D")</f>
        <v>25.92</v>
      </c>
      <c r="U53">
        <f>_xll.BDP(A53&amp;" AB Equity","LOW_30D")</f>
        <v>23.2</v>
      </c>
      <c r="V53" s="11" t="str" cm="1">
        <f t="array" aca="1" ref="V53" ca="1">_xll.BDH(A53&amp;" AB Equity","MOV_AVG_200D",TODAY()-32,TODAY()-32,"Days=T")</f>
        <v>#N/A N/A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31.88</v>
      </c>
      <c r="C55">
        <f>_xll.BDP(A55&amp;" AB Equity","LAST_PRICE")</f>
        <v>31.88</v>
      </c>
      <c r="D55">
        <f>_xll.BDP(A55&amp;" AB Equity","RT_PX_CHG_PCT_1D")</f>
        <v>8.1410999298095703</v>
      </c>
      <c r="E55">
        <f>_xll.BDP(A55&amp;" AB Equity","CHG_PCT_1M_RT")</f>
        <v>42.831499999999998</v>
      </c>
      <c r="F55">
        <f>_xll.BDP(A55&amp;" AB Equity","CHG_PCT_YTD_RT")</f>
        <v>-9.6883999999999997</v>
      </c>
      <c r="G55">
        <f>_xll.BDP(A55&amp;" AB Equity","YEST_LAST_TRADE")</f>
        <v>29.48</v>
      </c>
      <c r="H55">
        <f>_xll.BDP(A55&amp;" AB Equity","HIGH_52WEEK")</f>
        <v>110.8</v>
      </c>
      <c r="I55">
        <f>_xll.BDP(A55&amp;" AB Equity","LOW_52WEEK")</f>
        <v>20</v>
      </c>
      <c r="J55">
        <f>_xll.BDP(A55&amp;" AB Equity","VOLUME")</f>
        <v>2175000</v>
      </c>
      <c r="K55">
        <f>_xll.BDP(A55&amp;" AB Equity","OPEN")</f>
        <v>29.82</v>
      </c>
      <c r="L55">
        <f>_xll.BDP(A55&amp;" AB Equity","LOW")</f>
        <v>29.82</v>
      </c>
      <c r="M55">
        <f>_xll.BDP(A55&amp;" AB Equity","HIGH")</f>
        <v>32.04</v>
      </c>
      <c r="N55">
        <f>_xll.BDP(A55&amp;" AB Equity","VWAP")</f>
        <v>31.202300000000001</v>
      </c>
      <c r="O55" t="str">
        <f>_xll.BDP(A55&amp;" AB Equity","SAUDI_ARABIA_EXCHANGE_ID")</f>
        <v>1213</v>
      </c>
      <c r="P55">
        <f>_xll.BDP(A55&amp;" AB Equity","VOLUME_AVG_30D")</f>
        <v>327452.40000000002</v>
      </c>
      <c r="Q55">
        <f>_xll.BDP(A55&amp;" AB Equity","BID")</f>
        <v>31.88</v>
      </c>
      <c r="R55">
        <f>_xll.BDP(A55&amp;" AB Equity","ASK")</f>
        <v>31.9</v>
      </c>
      <c r="S55">
        <f>_xll.BDP(A55&amp;" AB Equity","CHG_PCT_MOV_AVG_200D")</f>
        <v>-22.12903</v>
      </c>
      <c r="T55">
        <f>_xll.BDP(A55&amp;" AB Equity","HIGH_30D")</f>
        <v>29.48</v>
      </c>
      <c r="U55">
        <f>_xll.BDP(A55&amp;" AB Equity","LOW_30D")</f>
        <v>21.28</v>
      </c>
      <c r="V55" s="11" t="str" cm="1">
        <f t="array" aca="1" ref="V55" ca="1">_xll.BDH(A55&amp;" AB Equity","MOV_AVG_200D",TODAY()-32,TODAY()-32,"Days=T")</f>
        <v>#N/A N/A</v>
      </c>
      <c r="W55">
        <v>61.377200000000002</v>
      </c>
      <c r="X55">
        <f>IF(B55="","",_xlfn.SINGLE(_xll.BDP(A55&amp;" AB Equity","MOV_AVG_200D")))</f>
        <v>40.656999999999996</v>
      </c>
    </row>
    <row r="56" spans="1:24" x14ac:dyDescent="0.25">
      <c r="A56" t="s">
        <v>68</v>
      </c>
      <c r="B56">
        <f>_xll.BDP(A56&amp;" AB Equity","LAST_PRICE")</f>
        <v>17.2</v>
      </c>
      <c r="C56">
        <f>_xll.BDP(A56&amp;" AB Equity","LAST_PRICE")</f>
        <v>17.2</v>
      </c>
      <c r="D56">
        <f>_xll.BDP(A56&amp;" AB Equity","RT_PX_CHG_PCT_1D")</f>
        <v>7.0317001342773438</v>
      </c>
      <c r="E56">
        <f>_xll.BDP(A56&amp;" AB Equity","CHG_PCT_1M_RT")</f>
        <v>23.830100000000002</v>
      </c>
      <c r="F56">
        <f>_xll.BDP(A56&amp;" AB Equity","CHG_PCT_YTD_RT")</f>
        <v>43.333300000000001</v>
      </c>
      <c r="G56">
        <f>_xll.BDP(A56&amp;" AB Equity","YEST_LAST_TRADE")</f>
        <v>16.07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1493524</v>
      </c>
      <c r="K56">
        <f>_xll.BDP(A56&amp;" AB Equity","OPEN")</f>
        <v>16.239999999999998</v>
      </c>
      <c r="L56">
        <f>_xll.BDP(A56&amp;" AB Equity","LOW")</f>
        <v>16.190000000000001</v>
      </c>
      <c r="M56">
        <f>_xll.BDP(A56&amp;" AB Equity","HIGH")</f>
        <v>17.48</v>
      </c>
      <c r="N56">
        <f>_xll.BDP(A56&amp;" AB Equity","VWAP")</f>
        <v>17.085100000000001</v>
      </c>
      <c r="O56" t="str">
        <f>_xll.BDP(A56&amp;" AB Equity","SAUDI_ARABIA_EXCHANGE_ID")</f>
        <v>2130</v>
      </c>
      <c r="P56">
        <f>_xll.BDP(A56&amp;" AB Equity","VOLUME_AVG_30D")</f>
        <v>953234.9</v>
      </c>
      <c r="Q56">
        <f>_xll.BDP(A56&amp;" AB Equity","BID")</f>
        <v>17.190000000000001</v>
      </c>
      <c r="R56">
        <f>_xll.BDP(A56&amp;" AB Equity","ASK")</f>
        <v>17.2</v>
      </c>
      <c r="S56">
        <f>_xll.BDP(A56&amp;" AB Equity","CHG_PCT_MOV_AVG_200D")</f>
        <v>21.000440000000001</v>
      </c>
      <c r="T56">
        <f>_xll.BDP(A56&amp;" AB Equity","HIGH_30D")</f>
        <v>17.75</v>
      </c>
      <c r="U56">
        <f>_xll.BDP(A56&amp;" AB Equity","LOW_30D")</f>
        <v>12.31</v>
      </c>
      <c r="V56" s="11" t="str" cm="1">
        <f t="array" aca="1" ref="V56" ca="1">_xll.BDH(A56&amp;" AB Equity","MOV_AVG_200D",TODAY()-32,TODAY()-32,"Days=T")</f>
        <v>#N/A N/A</v>
      </c>
      <c r="W56">
        <v>15.953900000000001</v>
      </c>
      <c r="X56">
        <f>IF(B56="","",_xlfn.SINGLE(_xll.BDP(A56&amp;" AB Equity","MOV_AVG_200D")))</f>
        <v>14.18177</v>
      </c>
    </row>
    <row r="57" spans="1:24" x14ac:dyDescent="0.25">
      <c r="A57" t="s">
        <v>69</v>
      </c>
      <c r="B57">
        <f>_xll.BDP(A57&amp;" AB Equity","LAST_PRICE")</f>
        <v>11.11</v>
      </c>
      <c r="C57">
        <f>_xll.BDP(A57&amp;" AB Equity","LAST_PRICE")</f>
        <v>11.11</v>
      </c>
      <c r="D57">
        <f>_xll.BDP(A57&amp;" AB Equity","RT_PX_CHG_PCT_1D")</f>
        <v>0.36129999160766602</v>
      </c>
      <c r="E57">
        <f>_xll.BDP(A57&amp;" AB Equity","CHG_PCT_1M_RT")</f>
        <v>-1.4197</v>
      </c>
      <c r="F57">
        <f>_xll.BDP(A57&amp;" AB Equity","CHG_PCT_YTD_RT")</f>
        <v>-2.5438999999999998</v>
      </c>
      <c r="G57">
        <f>_xll.BDP(A57&amp;" AB Equity","YEST_LAST_TRADE")</f>
        <v>11.07</v>
      </c>
      <c r="H57">
        <f>_xll.BDP(A57&amp;" AB Equity","HIGH_52WEEK")</f>
        <v>13.89</v>
      </c>
      <c r="I57">
        <f>_xll.BDP(A57&amp;" AB Equity","LOW_52WEEK")</f>
        <v>10.9</v>
      </c>
      <c r="J57">
        <f>_xll.BDP(A57&amp;" AB Equity","VOLUME")</f>
        <v>173158</v>
      </c>
      <c r="K57">
        <f>_xll.BDP(A57&amp;" AB Equity","OPEN")</f>
        <v>11.08</v>
      </c>
      <c r="L57">
        <f>_xll.BDP(A57&amp;" AB Equity","LOW")</f>
        <v>11.06</v>
      </c>
      <c r="M57">
        <f>_xll.BDP(A57&amp;" AB Equity","HIGH")</f>
        <v>11.19</v>
      </c>
      <c r="N57">
        <f>_xll.BDP(A57&amp;" AB Equity","VWAP")</f>
        <v>11.152200000000001</v>
      </c>
      <c r="O57" t="str">
        <f>_xll.BDP(A57&amp;" AB Equity","SAUDI_ARABIA_EXCHANGE_ID")</f>
        <v>4011</v>
      </c>
      <c r="P57">
        <f>_xll.BDP(A57&amp;" AB Equity","VOLUME_AVG_30D")</f>
        <v>125862.2</v>
      </c>
      <c r="Q57">
        <f>_xll.BDP(A57&amp;" AB Equity","BID")</f>
        <v>11.11</v>
      </c>
      <c r="R57">
        <f>_xll.BDP(A57&amp;" AB Equity","ASK")</f>
        <v>11.16</v>
      </c>
      <c r="S57">
        <f>_xll.BDP(A57&amp;" AB Equity","CHG_PCT_MOV_AVG_200D")</f>
        <v>-5.5546870000000004</v>
      </c>
      <c r="T57">
        <f>_xll.BDP(A57&amp;" AB Equity","HIGH_30D")</f>
        <v>11.57</v>
      </c>
      <c r="U57">
        <f>_xll.BDP(A57&amp;" AB Equity","LOW_30D")</f>
        <v>10.9</v>
      </c>
      <c r="V57" s="11" t="str" cm="1">
        <f t="array" aca="1" ref="V57" ca="1">_xll.BDH(A57&amp;" AB Equity","MOV_AVG_200D",TODAY()-32,TODAY()-32,"Days=T")</f>
        <v>#N/A N/A</v>
      </c>
      <c r="W57">
        <v>12.250299999999999</v>
      </c>
      <c r="X57">
        <f>IF(B57="","",_xlfn.SINGLE(_xll.BDP(A57&amp;" AB Equity","MOV_AVG_200D")))</f>
        <v>11.82695</v>
      </c>
    </row>
    <row r="58" spans="1:24" x14ac:dyDescent="0.25">
      <c r="A58" t="s">
        <v>70</v>
      </c>
      <c r="B58">
        <f>_xll.BDP(A58&amp;" AB Equity","LAST_PRICE")</f>
        <v>12.3</v>
      </c>
      <c r="C58">
        <f>_xll.BDP(A58&amp;" AB Equity","LAST_PRICE")</f>
        <v>12.3</v>
      </c>
      <c r="D58">
        <f>_xll.BDP(A58&amp;" AB Equity","RT_PX_CHG_PCT_1D")</f>
        <v>9.9195995330810547</v>
      </c>
      <c r="E58">
        <f>_xll.BDP(A58&amp;" AB Equity","CHG_PCT_1M_RT")</f>
        <v>18.840599999999998</v>
      </c>
      <c r="F58">
        <f>_xll.BDP(A58&amp;" AB Equity","CHG_PCT_YTD_RT")</f>
        <v>16.147300000000001</v>
      </c>
      <c r="G58">
        <f>_xll.BDP(A58&amp;" AB Equity","YEST_LAST_TRADE")</f>
        <v>11.19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1201748</v>
      </c>
      <c r="K58">
        <f>_xll.BDP(A58&amp;" AB Equity","OPEN")</f>
        <v>11.22</v>
      </c>
      <c r="L58">
        <f>_xll.BDP(A58&amp;" AB Equity","LOW")</f>
        <v>11.22</v>
      </c>
      <c r="M58">
        <f>_xll.BDP(A58&amp;" AB Equity","HIGH")</f>
        <v>12.3</v>
      </c>
      <c r="N58">
        <f>_xll.BDP(A58&amp;" AB Equity","VWAP")</f>
        <v>11.841699999999999</v>
      </c>
      <c r="O58" t="str">
        <f>_xll.BDP(A58&amp;" AB Equity","SAUDI_ARABIA_EXCHANGE_ID")</f>
        <v>2340</v>
      </c>
      <c r="P58">
        <f>_xll.BDP(A58&amp;" AB Equity","VOLUME_AVG_30D")</f>
        <v>257387.7</v>
      </c>
      <c r="Q58">
        <f>_xll.BDP(A58&amp;" AB Equity","BID")</f>
        <v>12.3</v>
      </c>
      <c r="R58">
        <f>_xll.BDP(A58&amp;" AB Equity","ASK")</f>
        <v>12.35</v>
      </c>
      <c r="S58">
        <f>_xll.BDP(A58&amp;" AB Equity","CHG_PCT_MOV_AVG_200D")</f>
        <v>4.0348269999999999</v>
      </c>
      <c r="T58">
        <f>_xll.BDP(A58&amp;" AB Equity","HIGH_30D")</f>
        <v>11.72</v>
      </c>
      <c r="U58">
        <f>_xll.BDP(A58&amp;" AB Equity","LOW_30D")</f>
        <v>10</v>
      </c>
      <c r="V58" s="11" t="str" cm="1">
        <f t="array" aca="1" ref="V58" ca="1">_xll.BDH(A58&amp;" AB Equity","MOV_AVG_200D",TODAY()-32,TODAY()-32,"Days=T")</f>
        <v>#N/A N/A</v>
      </c>
      <c r="W58">
        <v>11.737500000000001</v>
      </c>
      <c r="X58">
        <f>IF(B58="","",_xlfn.SINGLE(_xll.BDP(A58&amp;" AB Equity","MOV_AVG_200D")))</f>
        <v>11.140499999999999</v>
      </c>
    </row>
    <row r="59" spans="1:24" x14ac:dyDescent="0.25">
      <c r="A59" t="s">
        <v>71</v>
      </c>
      <c r="B59">
        <f>_xll.BDP(A59&amp;" AB Equity","LAST_PRICE")</f>
        <v>3.67</v>
      </c>
      <c r="C59">
        <f>_xll.BDP(A59&amp;" AB Equity","LAST_PRICE")</f>
        <v>3.67</v>
      </c>
      <c r="D59">
        <f>_xll.BDP(A59&amp;" AB Equity","RT_PX_CHG_PCT_1D")</f>
        <v>-0.27169999480247498</v>
      </c>
      <c r="E59">
        <f>_xll.BDP(A59&amp;" AB Equity","CHG_PCT_1M_RT")</f>
        <v>-0.2717</v>
      </c>
      <c r="F59">
        <f>_xll.BDP(A59&amp;" AB Equity","CHG_PCT_YTD_RT")</f>
        <v>8.9021000000000008</v>
      </c>
      <c r="G59">
        <f>_xll.BDP(A59&amp;" AB Equity","YEST_LAST_TRADE")</f>
        <v>3.68</v>
      </c>
      <c r="H59">
        <f>_xll.BDP(A59&amp;" AB Equity","HIGH_52WEEK")</f>
        <v>4.24</v>
      </c>
      <c r="I59">
        <f>_xll.BDP(A59&amp;" AB Equity","LOW_52WEEK")</f>
        <v>3.18</v>
      </c>
      <c r="J59">
        <f>_xll.BDP(A59&amp;" AB Equity","VOLUME")</f>
        <v>654705</v>
      </c>
      <c r="K59">
        <f>_xll.BDP(A59&amp;" AB Equity","OPEN")</f>
        <v>3.68</v>
      </c>
      <c r="L59">
        <f>_xll.BDP(A59&amp;" AB Equity","LOW")</f>
        <v>3.66</v>
      </c>
      <c r="M59">
        <f>_xll.BDP(A59&amp;" AB Equity","HIGH")</f>
        <v>3.7</v>
      </c>
      <c r="N59">
        <f>_xll.BDP(A59&amp;" AB Equity","VWAP")</f>
        <v>3.6791999999999998</v>
      </c>
      <c r="O59" t="str">
        <f>_xll.BDP(A59&amp;" AB Equity","SAUDI_ARABIA_EXCHANGE_ID")</f>
        <v>4012</v>
      </c>
      <c r="P59">
        <f>_xll.BDP(A59&amp;" AB Equity","VOLUME_AVG_30D")</f>
        <v>523122</v>
      </c>
      <c r="Q59">
        <f>_xll.BDP(A59&amp;" AB Equity","BID")</f>
        <v>3.66</v>
      </c>
      <c r="R59">
        <f>_xll.BDP(A59&amp;" AB Equity","ASK")</f>
        <v>3.67</v>
      </c>
      <c r="S59">
        <f>_xll.BDP(A59&amp;" AB Equity","CHG_PCT_MOV_AVG_200D")</f>
        <v>3.4545400000000002</v>
      </c>
      <c r="T59">
        <f>_xll.BDP(A59&amp;" AB Equity","HIGH_30D")</f>
        <v>3.79</v>
      </c>
      <c r="U59">
        <f>_xll.BDP(A59&amp;" AB Equity","LOW_30D")</f>
        <v>3.55</v>
      </c>
      <c r="V59" s="11" t="str" cm="1">
        <f t="array" aca="1" ref="V59" ca="1">_xll.BDH(A59&amp;" AB Equity","MOV_AVG_200D",TODAY()-32,TODAY()-32,"Days=T")</f>
        <v>#N/A N/A</v>
      </c>
      <c r="W59">
        <v>11.7302</v>
      </c>
      <c r="X59">
        <f>IF(B59="","",_xlfn.SINGLE(_xll.BDP(A59&amp;" AB Equity","MOV_AVG_200D")))</f>
        <v>3.5764499999999999</v>
      </c>
    </row>
    <row r="60" spans="1:24" x14ac:dyDescent="0.25">
      <c r="A60" t="s">
        <v>60</v>
      </c>
      <c r="B60">
        <f>_xll.BDP(A60&amp;" AB Equity","LAST_PRICE")</f>
        <v>2.4700000000000002</v>
      </c>
      <c r="C60">
        <f>_xll.BDP(A60&amp;" AB Equity","LAST_PRICE")</f>
        <v>2.4700000000000002</v>
      </c>
      <c r="D60">
        <f>_xll.BDP(A60&amp;" AB Equity","RT_PX_CHG_PCT_1D")</f>
        <v>2.0660998821258545</v>
      </c>
      <c r="E60">
        <f>_xll.BDP(A60&amp;" AB Equity","CHG_PCT_1M_RT")</f>
        <v>1.6460999999999999</v>
      </c>
      <c r="F60">
        <f>_xll.BDP(A60&amp;" AB Equity","CHG_PCT_YTD_RT")</f>
        <v>-9.8539999999999992</v>
      </c>
      <c r="G60">
        <f>_xll.BDP(A60&amp;" AB Equity","YEST_LAST_TRADE")</f>
        <v>2.42</v>
      </c>
      <c r="H60">
        <f>_xll.BDP(A60&amp;" AB Equity","HIGH_52WEEK")</f>
        <v>3.75</v>
      </c>
      <c r="I60">
        <f>_xll.BDP(A60&amp;" AB Equity","LOW_52WEEK")</f>
        <v>2.2799999999999998</v>
      </c>
      <c r="J60">
        <f>_xll.BDP(A60&amp;" AB Equity","VOLUME")</f>
        <v>853540</v>
      </c>
      <c r="K60">
        <f>_xll.BDP(A60&amp;" AB Equity","OPEN")</f>
        <v>2.42</v>
      </c>
      <c r="L60">
        <f>_xll.BDP(A60&amp;" AB Equity","LOW")</f>
        <v>2.42</v>
      </c>
      <c r="M60">
        <f>_xll.BDP(A60&amp;" AB Equity","HIGH")</f>
        <v>2.4700000000000002</v>
      </c>
      <c r="N60">
        <f>_xll.BDP(A60&amp;" AB Equity","VWAP")</f>
        <v>2.4538000000000002</v>
      </c>
      <c r="O60" t="str">
        <f>_xll.BDP(A60&amp;" AB Equity","SAUDI_ARABIA_EXCHANGE_ID")</f>
        <v>4180</v>
      </c>
      <c r="P60">
        <f>_xll.BDP(A60&amp;" AB Equity","VOLUME_AVG_30D")</f>
        <v>775696.3</v>
      </c>
      <c r="Q60">
        <f>_xll.BDP(A60&amp;" AB Equity","BID")</f>
        <v>2.46</v>
      </c>
      <c r="R60">
        <f>_xll.BDP(A60&amp;" AB Equity","ASK")</f>
        <v>2.4700000000000002</v>
      </c>
      <c r="S60">
        <f>_xll.BDP(A60&amp;" AB Equity","CHG_PCT_MOV_AVG_200D")</f>
        <v>-11.878550000000001</v>
      </c>
      <c r="T60">
        <f>_xll.BDP(A60&amp;" AB Equity","HIGH_30D")</f>
        <v>2.5299999999999998</v>
      </c>
      <c r="U60">
        <f>_xll.BDP(A60&amp;" AB Equity","LOW_30D")</f>
        <v>2.37</v>
      </c>
      <c r="V60" s="11" t="str" cm="1">
        <f t="array" aca="1" ref="V60" ca="1">_xll.BDH(A60&amp;" AB Equity","MOV_AVG_200D",TODAY()-32,TODAY()-32,"Days=T")</f>
        <v>#N/A N/A</v>
      </c>
      <c r="W60" s="7">
        <v>11.7182</v>
      </c>
      <c r="X60">
        <f>IF(B60="","",_xlfn.SINGLE(_xll.BDP(A60&amp;" AB Equity","MOV_AVG_200D")))</f>
        <v>2.8029500000000001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13.65</v>
      </c>
      <c r="C62">
        <f>_xll.BDP(A62&amp;" AB Equity","LAST_PRICE")</f>
        <v>13.65</v>
      </c>
      <c r="D62">
        <f>_xll.BDP(A62&amp;" AB Equity","RT_PX_CHG_PCT_1D")</f>
        <v>1.3363000154495239</v>
      </c>
      <c r="E62">
        <f>_xll.BDP(A62&amp;" AB Equity","CHG_PCT_1M_RT")</f>
        <v>4.5976999999999997</v>
      </c>
      <c r="F62">
        <f>_xll.BDP(A62&amp;" AB Equity","CHG_PCT_YTD_RT")</f>
        <v>-5.3398000000000003</v>
      </c>
      <c r="G62">
        <f>_xll.BDP(A62&amp;" AB Equity","YEST_LAST_TRADE")</f>
        <v>13.47</v>
      </c>
      <c r="H62">
        <f>_xll.BDP(A62&amp;" AB Equity","HIGH_52WEEK")</f>
        <v>28.46</v>
      </c>
      <c r="I62">
        <f>_xll.BDP(A62&amp;" AB Equity","LOW_52WEEK")</f>
        <v>10.72</v>
      </c>
      <c r="J62">
        <f>_xll.BDP(A62&amp;" AB Equity","VOLUME")</f>
        <v>1462852</v>
      </c>
      <c r="K62">
        <f>_xll.BDP(A62&amp;" AB Equity","OPEN")</f>
        <v>13.47</v>
      </c>
      <c r="L62">
        <f>_xll.BDP(A62&amp;" AB Equity","LOW")</f>
        <v>13.44</v>
      </c>
      <c r="M62">
        <f>_xll.BDP(A62&amp;" AB Equity","HIGH")</f>
        <v>13.93</v>
      </c>
      <c r="N62">
        <f>_xll.BDP(A62&amp;" AB Equity","VWAP")</f>
        <v>13.7201</v>
      </c>
      <c r="O62" t="str">
        <f>_xll.BDP(A62&amp;" AB Equity","SAUDI_ARABIA_EXCHANGE_ID")</f>
        <v>6017</v>
      </c>
      <c r="P62">
        <f>_xll.BDP(A62&amp;" AB Equity","VOLUME_AVG_30D")</f>
        <v>1745811</v>
      </c>
      <c r="Q62">
        <f>_xll.BDP(A62&amp;" AB Equity","BID")</f>
        <v>13.65</v>
      </c>
      <c r="R62">
        <f>_xll.BDP(A62&amp;" AB Equity","ASK")</f>
        <v>13.7</v>
      </c>
      <c r="S62">
        <f>_xll.BDP(A62&amp;" AB Equity","CHG_PCT_MOV_AVG_200D")</f>
        <v>-11.269600000000001</v>
      </c>
      <c r="T62">
        <f>_xll.BDP(A62&amp;" AB Equity","HIGH_30D")</f>
        <v>14.7</v>
      </c>
      <c r="U62">
        <f>_xll.BDP(A62&amp;" AB Equity","LOW_30D")</f>
        <v>11.97</v>
      </c>
      <c r="V62" s="11" t="str" cm="1">
        <f t="array" aca="1" ref="V62" ca="1">_xll.BDH(A62&amp;" AB Equity","MOV_AVG_200D",TODAY()-32,TODAY()-32,"Days=T")</f>
        <v>#N/A N/A</v>
      </c>
      <c r="W62">
        <v>11.694000000000001</v>
      </c>
      <c r="X62">
        <f>IF(B62="","",_xlfn.SINGLE(_xll.BDP(A62&amp;" AB Equity","MOV_AVG_200D")))</f>
        <v>15.50765</v>
      </c>
    </row>
    <row r="63" spans="1:24" x14ac:dyDescent="0.25">
      <c r="A63" t="s">
        <v>73</v>
      </c>
      <c r="B63">
        <f>_xll.BDP(A63&amp;" AB Equity","LAST_PRICE")</f>
        <v>7.68</v>
      </c>
      <c r="C63">
        <f>_xll.BDP(A63&amp;" AB Equity","LAST_PRICE")</f>
        <v>7.68</v>
      </c>
      <c r="D63">
        <f>_xll.BDP(A63&amp;" AB Equity","RT_PX_CHG_PCT_1D")</f>
        <v>2.9491000175476074</v>
      </c>
      <c r="E63">
        <f>_xll.BDP(A63&amp;" AB Equity","CHG_PCT_1M_RT")</f>
        <v>-3.2746</v>
      </c>
      <c r="F63">
        <f>_xll.BDP(A63&amp;" AB Equity","CHG_PCT_YTD_RT")</f>
        <v>-17.026800000000001</v>
      </c>
      <c r="G63">
        <f>_xll.BDP(A63&amp;" AB Equity","YEST_LAST_TRADE")</f>
        <v>7.46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808707</v>
      </c>
      <c r="K63">
        <f>_xll.BDP(A63&amp;" AB Equity","OPEN")</f>
        <v>7.48</v>
      </c>
      <c r="L63">
        <f>_xll.BDP(A63&amp;" AB Equity","LOW")</f>
        <v>7.46</v>
      </c>
      <c r="M63">
        <f>_xll.BDP(A63&amp;" AB Equity","HIGH")</f>
        <v>7.81</v>
      </c>
      <c r="N63">
        <f>_xll.BDP(A63&amp;" AB Equity","VWAP")</f>
        <v>7.6761999999999997</v>
      </c>
      <c r="O63" t="str">
        <f>_xll.BDP(A63&amp;" AB Equity","SAUDI_ARABIA_EXCHANGE_ID")</f>
        <v>6016</v>
      </c>
      <c r="P63">
        <f>_xll.BDP(A63&amp;" AB Equity","VOLUME_AVG_30D")</f>
        <v>441057</v>
      </c>
      <c r="Q63">
        <f>_xll.BDP(A63&amp;" AB Equity","BID")</f>
        <v>7.68</v>
      </c>
      <c r="R63">
        <f>_xll.BDP(A63&amp;" AB Equity","ASK")</f>
        <v>7.7</v>
      </c>
      <c r="S63">
        <f>_xll.BDP(A63&amp;" AB Equity","CHG_PCT_MOV_AVG_200D")</f>
        <v>-12.30701</v>
      </c>
      <c r="T63">
        <f>_xll.BDP(A63&amp;" AB Equity","HIGH_30D")</f>
        <v>8.15</v>
      </c>
      <c r="U63">
        <f>_xll.BDP(A63&amp;" AB Equity","LOW_30D")</f>
        <v>7.33</v>
      </c>
      <c r="V63" s="11" t="str" cm="1">
        <f t="array" aca="1" ref="V63" ca="1">_xll.BDH(A63&amp;" AB Equity","MOV_AVG_200D",TODAY()-32,TODAY()-32,"Days=T")</f>
        <v>#N/A N/A</v>
      </c>
      <c r="W63">
        <v>11.679399999999999</v>
      </c>
      <c r="X63">
        <f>IF(B63="","",_xlfn.SINGLE(_xll.BDP(A63&amp;" AB Equity","MOV_AVG_200D")))</f>
        <v>8.8148440000000008</v>
      </c>
    </row>
    <row r="64" spans="1:24" x14ac:dyDescent="0.25">
      <c r="A64" t="s">
        <v>74</v>
      </c>
      <c r="B64">
        <f>_xll.BDP(A64&amp;" AB Equity","LAST_PRICE")</f>
        <v>15.2</v>
      </c>
      <c r="C64">
        <f>_xll.BDP(A64&amp;" AB Equity","LAST_PRICE")</f>
        <v>15.2</v>
      </c>
      <c r="D64">
        <f>_xll.BDP(A64&amp;" AB Equity","RT_PX_CHG_PCT_1D")</f>
        <v>1.333299994468689</v>
      </c>
      <c r="E64">
        <f>_xll.BDP(A64&amp;" AB Equity","CHG_PCT_1M_RT")</f>
        <v>-0.97719999999999996</v>
      </c>
      <c r="F64">
        <f>_xll.BDP(A64&amp;" AB Equity","CHG_PCT_YTD_RT")</f>
        <v>-20</v>
      </c>
      <c r="G64">
        <f>_xll.BDP(A64&amp;" AB Equity","YEST_LAST_TRADE")</f>
        <v>15</v>
      </c>
      <c r="H64">
        <f>_xll.BDP(A64&amp;" AB Equity","HIGH_52WEEK")</f>
        <v>29.38</v>
      </c>
      <c r="I64">
        <f>_xll.BDP(A64&amp;" AB Equity","LOW_52WEEK")</f>
        <v>14.53</v>
      </c>
      <c r="J64">
        <f>_xll.BDP(A64&amp;" AB Equity","VOLUME")</f>
        <v>382937</v>
      </c>
      <c r="K64">
        <f>_xll.BDP(A64&amp;" AB Equity","OPEN")</f>
        <v>14.94</v>
      </c>
      <c r="L64">
        <f>_xll.BDP(A64&amp;" AB Equity","LOW")</f>
        <v>14.94</v>
      </c>
      <c r="M64">
        <f>_xll.BDP(A64&amp;" AB Equity","HIGH")</f>
        <v>15.46</v>
      </c>
      <c r="N64">
        <f>_xll.BDP(A64&amp;" AB Equity","VWAP")</f>
        <v>15.295299999999999</v>
      </c>
      <c r="O64" t="str">
        <f>_xll.BDP(A64&amp;" AB Equity","SAUDI_ARABIA_EXCHANGE_ID")</f>
        <v>4290</v>
      </c>
      <c r="P64">
        <f>_xll.BDP(A64&amp;" AB Equity","VOLUME_AVG_30D")</f>
        <v>262036.7</v>
      </c>
      <c r="Q64">
        <f>_xll.BDP(A64&amp;" AB Equity","BID")</f>
        <v>15.2</v>
      </c>
      <c r="R64">
        <f>_xll.BDP(A64&amp;" AB Equity","ASK")</f>
        <v>15.25</v>
      </c>
      <c r="S64">
        <f>_xll.BDP(A64&amp;" AB Equity","CHG_PCT_MOV_AVG_200D")</f>
        <v>-24.31887</v>
      </c>
      <c r="T64">
        <f>_xll.BDP(A64&amp;" AB Equity","HIGH_30D")</f>
        <v>16.100000000000001</v>
      </c>
      <c r="U64">
        <f>_xll.BDP(A64&amp;" AB Equity","LOW_30D")</f>
        <v>14.53</v>
      </c>
      <c r="V64" s="11" t="str" cm="1">
        <f t="array" aca="1" ref="V64" ca="1">_xll.BDH(A64&amp;" AB Equity","MOV_AVG_200D",TODAY()-32,TODAY()-32,"Days=T")</f>
        <v>#N/A N/A</v>
      </c>
      <c r="W64">
        <v>2.9990000000000001</v>
      </c>
      <c r="X64">
        <f>IF(B64="","",_xlfn.SINGLE(_xll.BDP(A64&amp;" AB Equity","MOV_AVG_200D")))</f>
        <v>20.2164</v>
      </c>
    </row>
    <row r="65" spans="1:24" x14ac:dyDescent="0.25">
      <c r="A65" t="s">
        <v>75</v>
      </c>
      <c r="B65">
        <f>_xll.BDP(A65&amp;" AB Equity","LAST_PRICE")</f>
        <v>129.5</v>
      </c>
      <c r="C65">
        <f>_xll.BDP(A65&amp;" AB Equity","LAST_PRICE")</f>
        <v>129.5</v>
      </c>
      <c r="D65">
        <f>_xll.BDP(A65&amp;" AB Equity","RT_PX_CHG_PCT_1D")</f>
        <v>0</v>
      </c>
      <c r="E65">
        <f>_xll.BDP(A65&amp;" AB Equity","CHG_PCT_1M_RT")</f>
        <v>8.3681999999999999</v>
      </c>
      <c r="F65">
        <f>_xll.BDP(A65&amp;" AB Equity","CHG_PCT_YTD_RT")</f>
        <v>-9.8817000000000004</v>
      </c>
      <c r="G65">
        <f>_xll.BDP(A65&amp;" AB Equity","YEST_LAST_TRADE")</f>
        <v>129.5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12085</v>
      </c>
      <c r="K65">
        <f>_xll.BDP(A65&amp;" AB Equity","OPEN")</f>
        <v>129</v>
      </c>
      <c r="L65">
        <f>_xll.BDP(A65&amp;" AB Equity","LOW")</f>
        <v>128.6</v>
      </c>
      <c r="M65">
        <f>_xll.BDP(A65&amp;" AB Equity","HIGH")</f>
        <v>131.69999999999999</v>
      </c>
      <c r="N65">
        <f>_xll.BDP(A65&amp;" AB Equity","VWAP")</f>
        <v>129.6934</v>
      </c>
      <c r="O65" t="str">
        <f>_xll.BDP(A65&amp;" AB Equity","SAUDI_ARABIA_EXCHANGE_ID")</f>
        <v>4291</v>
      </c>
      <c r="P65">
        <f>_xll.BDP(A65&amp;" AB Equity","VOLUME_AVG_30D")</f>
        <v>30421.17</v>
      </c>
      <c r="Q65">
        <f>_xll.BDP(A65&amp;" AB Equity","BID")</f>
        <v>128.9</v>
      </c>
      <c r="R65">
        <f>_xll.BDP(A65&amp;" AB Equity","ASK")</f>
        <v>129.5</v>
      </c>
      <c r="S65">
        <f>_xll.BDP(A65&amp;" AB Equity","CHG_PCT_MOV_AVG_200D")</f>
        <v>-4.4999070000000003</v>
      </c>
      <c r="T65">
        <f>_xll.BDP(A65&amp;" AB Equity","HIGH_30D")</f>
        <v>139.69999999999999</v>
      </c>
      <c r="U65">
        <f>_xll.BDP(A65&amp;" AB Equity","LOW_30D")</f>
        <v>114.3</v>
      </c>
      <c r="V65" s="11" t="str" cm="1">
        <f t="array" aca="1" ref="V65" ca="1">_xll.BDH(A65&amp;" AB Equity","MOV_AVG_200D",TODAY()-32,TODAY()-32,"Days=T")</f>
        <v>#N/A N/A</v>
      </c>
      <c r="W65">
        <v>2.9946999999999999</v>
      </c>
      <c r="X65">
        <f>IF(B65="","",_xlfn.SINGLE(_xll.BDP(A65&amp;" AB Equity","MOV_AVG_200D")))</f>
        <v>136.85849999999999</v>
      </c>
    </row>
    <row r="66" spans="1:24" x14ac:dyDescent="0.25">
      <c r="A66" t="s">
        <v>76</v>
      </c>
      <c r="B66">
        <f>_xll.BDP(A66&amp;" AB Equity","LAST_PRICE")</f>
        <v>15.12</v>
      </c>
      <c r="C66">
        <f>_xll.BDP(A66&amp;" AB Equity","LAST_PRICE")</f>
        <v>15.12</v>
      </c>
      <c r="D66">
        <f>_xll.BDP(A66&amp;" AB Equity","RT_PX_CHG_PCT_1D")</f>
        <v>-0.52630001306533813</v>
      </c>
      <c r="E66">
        <f>_xll.BDP(A66&amp;" AB Equity","CHG_PCT_1M_RT")</f>
        <v>0.86719999999999997</v>
      </c>
      <c r="F66">
        <f>_xll.BDP(A66&amp;" AB Equity","CHG_PCT_YTD_RT")</f>
        <v>2.3003999999999998</v>
      </c>
      <c r="G66">
        <f>_xll.BDP(A66&amp;" AB Equity","YEST_LAST_TRADE")</f>
        <v>15.2</v>
      </c>
      <c r="H66">
        <f>_xll.BDP(A66&amp;" AB Equity","HIGH_52WEEK")</f>
        <v>21.25</v>
      </c>
      <c r="I66">
        <f>_xll.BDP(A66&amp;" AB Equity","LOW_52WEEK")</f>
        <v>13.88</v>
      </c>
      <c r="J66">
        <f>_xll.BDP(A66&amp;" AB Equity","VOLUME")</f>
        <v>3361512</v>
      </c>
      <c r="K66">
        <f>_xll.BDP(A66&amp;" AB Equity","OPEN")</f>
        <v>15.21</v>
      </c>
      <c r="L66">
        <f>_xll.BDP(A66&amp;" AB Equity","LOW")</f>
        <v>15.12</v>
      </c>
      <c r="M66">
        <f>_xll.BDP(A66&amp;" AB Equity","HIGH")</f>
        <v>15.4</v>
      </c>
      <c r="N66">
        <f>_xll.BDP(A66&amp;" AB Equity","VWAP")</f>
        <v>15.2804</v>
      </c>
      <c r="O66" t="str">
        <f>_xll.BDP(A66&amp;" AB Equity","SAUDI_ARABIA_EXCHANGE_ID")</f>
        <v>4250</v>
      </c>
      <c r="P66">
        <f>_xll.BDP(A66&amp;" AB Equity","VOLUME_AVG_30D")</f>
        <v>3168439</v>
      </c>
      <c r="Q66">
        <f>_xll.BDP(A66&amp;" AB Equity","BID")</f>
        <v>15.12</v>
      </c>
      <c r="R66">
        <f>_xll.BDP(A66&amp;" AB Equity","ASK")</f>
        <v>15.13</v>
      </c>
      <c r="S66">
        <f>_xll.BDP(A66&amp;" AB Equity","CHG_PCT_MOV_AVG_200D")</f>
        <v>-4.2972279999999996</v>
      </c>
      <c r="T66">
        <f>_xll.BDP(A66&amp;" AB Equity","HIGH_30D")</f>
        <v>15.89</v>
      </c>
      <c r="U66">
        <f>_xll.BDP(A66&amp;" AB Equity","LOW_30D")</f>
        <v>14.29</v>
      </c>
      <c r="V66" s="11" t="str" cm="1">
        <f t="array" aca="1" ref="V66" ca="1">_xll.BDH(A66&amp;" AB Equity","MOV_AVG_200D",TODAY()-32,TODAY()-32,"Days=T")</f>
        <v>#N/A N/A</v>
      </c>
      <c r="W66">
        <v>18.526700000000002</v>
      </c>
      <c r="X66">
        <f>IF(B66="","",_xlfn.SINGLE(_xll.BDP(A66&amp;" AB Equity","MOV_AVG_200D")))</f>
        <v>15.966100000000001</v>
      </c>
    </row>
    <row r="67" spans="1:24" x14ac:dyDescent="0.25">
      <c r="A67" t="s">
        <v>77</v>
      </c>
      <c r="B67">
        <f>_xll.BDP(A67&amp;" AB Equity","LAST_PRICE")</f>
        <v>7.03</v>
      </c>
      <c r="C67">
        <f>_xll.BDP(A67&amp;" AB Equity","LAST_PRICE")</f>
        <v>7.03</v>
      </c>
      <c r="D67">
        <f>_xll.BDP(A67&amp;" AB Equity","RT_PX_CHG_PCT_1D")</f>
        <v>2.7778000831604004</v>
      </c>
      <c r="E67">
        <f>_xll.BDP(A67&amp;" AB Equity","CHG_PCT_1M_RT")</f>
        <v>2.0318999999999998</v>
      </c>
      <c r="F67">
        <f>_xll.BDP(A67&amp;" AB Equity","CHG_PCT_YTD_RT")</f>
        <v>-14.7879</v>
      </c>
      <c r="G67">
        <f>_xll.BDP(A67&amp;" AB Equity","YEST_LAST_TRADE")</f>
        <v>6.84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5025950</v>
      </c>
      <c r="K67">
        <f>_xll.BDP(A67&amp;" AB Equity","OPEN")</f>
        <v>6.82</v>
      </c>
      <c r="L67">
        <f>_xll.BDP(A67&amp;" AB Equity","LOW")</f>
        <v>6.82</v>
      </c>
      <c r="M67">
        <f>_xll.BDP(A67&amp;" AB Equity","HIGH")</f>
        <v>7.1</v>
      </c>
      <c r="N67">
        <f>_xll.BDP(A67&amp;" AB Equity","VWAP")</f>
        <v>7.0105000000000004</v>
      </c>
      <c r="O67" t="str">
        <f>_xll.BDP(A67&amp;" AB Equity","SAUDI_ARABIA_EXCHANGE_ID")</f>
        <v>6018</v>
      </c>
      <c r="P67">
        <f>_xll.BDP(A67&amp;" AB Equity","VOLUME_AVG_30D")</f>
        <v>2142649</v>
      </c>
      <c r="Q67">
        <f>_xll.BDP(A67&amp;" AB Equity","BID")</f>
        <v>7.03</v>
      </c>
      <c r="R67">
        <f>_xll.BDP(A67&amp;" AB Equity","ASK")</f>
        <v>7.05</v>
      </c>
      <c r="S67">
        <f>_xll.BDP(A67&amp;" AB Equity","CHG_PCT_MOV_AVG_200D")</f>
        <v>-16.65672</v>
      </c>
      <c r="T67">
        <f>_xll.BDP(A67&amp;" AB Equity","HIGH_30D")</f>
        <v>7.22</v>
      </c>
      <c r="U67">
        <f>_xll.BDP(A67&amp;" AB Equity","LOW_30D")</f>
        <v>6.67</v>
      </c>
      <c r="V67" s="11" t="str" cm="1">
        <f t="array" aca="1" ref="V67" ca="1">_xll.BDH(A67&amp;" AB Equity","MOV_AVG_200D",TODAY()-32,TODAY()-32,"Days=T")</f>
        <v>#N/A N/A</v>
      </c>
      <c r="W67">
        <v>18.449100000000001</v>
      </c>
      <c r="X67">
        <f>IF(B67="","",_xlfn.SINGLE(_xll.BDP(A67&amp;" AB Equity","MOV_AVG_200D")))</f>
        <v>8.375</v>
      </c>
    </row>
    <row r="68" spans="1:24" x14ac:dyDescent="0.25">
      <c r="A68" t="s">
        <v>78</v>
      </c>
      <c r="B68">
        <f>_xll.BDP(A68&amp;" AB Equity","LAST_PRICE")</f>
        <v>2.09</v>
      </c>
      <c r="C68">
        <f>_xll.BDP(A68&amp;" AB Equity","LAST_PRICE")</f>
        <v>2.09</v>
      </c>
      <c r="D68">
        <f>_xll.BDP(A68&amp;" AB Equity","RT_PX_CHG_PCT_1D")</f>
        <v>1.951200008392334</v>
      </c>
      <c r="E68">
        <f>_xll.BDP(A68&amp;" AB Equity","CHG_PCT_1M_RT")</f>
        <v>7.7320000000000002</v>
      </c>
      <c r="F68">
        <f>_xll.BDP(A68&amp;" AB Equity","CHG_PCT_YTD_RT")</f>
        <v>24.404800000000002</v>
      </c>
      <c r="G68">
        <f>_xll.BDP(A68&amp;" AB Equity","YEST_LAST_TRADE")</f>
        <v>2.0499999999999998</v>
      </c>
      <c r="H68">
        <f>_xll.BDP(A68&amp;" AB Equity","HIGH_52WEEK")</f>
        <v>2.4300000000000002</v>
      </c>
      <c r="I68">
        <f>_xll.BDP(A68&amp;" AB Equity","LOW_52WEEK")</f>
        <v>1.62</v>
      </c>
      <c r="J68">
        <f>_xll.BDP(A68&amp;" AB Equity","VOLUME")</f>
        <v>17312507</v>
      </c>
      <c r="K68">
        <f>_xll.BDP(A68&amp;" AB Equity","OPEN")</f>
        <v>2.0499999999999998</v>
      </c>
      <c r="L68">
        <f>_xll.BDP(A68&amp;" AB Equity","LOW")</f>
        <v>2.0499999999999998</v>
      </c>
      <c r="M68">
        <f>_xll.BDP(A68&amp;" AB Equity","HIGH")</f>
        <v>2.09</v>
      </c>
      <c r="N68">
        <f>_xll.BDP(A68&amp;" AB Equity","VWAP")</f>
        <v>2.0756000000000001</v>
      </c>
      <c r="O68" t="str">
        <f>_xll.BDP(A68&amp;" AB Equity","SAUDI_ARABIA_EXCHANGE_ID")</f>
        <v>6015</v>
      </c>
      <c r="P68">
        <f>_xll.BDP(A68&amp;" AB Equity","VOLUME_AVG_30D")</f>
        <v>27113130</v>
      </c>
      <c r="Q68">
        <f>_xll.BDP(A68&amp;" AB Equity","BID")</f>
        <v>2.08</v>
      </c>
      <c r="R68">
        <f>_xll.BDP(A68&amp;" AB Equity","ASK")</f>
        <v>2.09</v>
      </c>
      <c r="S68">
        <f>_xll.BDP(A68&amp;" AB Equity","CHG_PCT_MOV_AVG_200D")</f>
        <v>8.7300730000000009</v>
      </c>
      <c r="T68">
        <f>_xll.BDP(A68&amp;" AB Equity","HIGH_30D")</f>
        <v>2.14</v>
      </c>
      <c r="U68">
        <f>_xll.BDP(A68&amp;" AB Equity","LOW_30D")</f>
        <v>1.84</v>
      </c>
      <c r="V68" s="11" t="str" cm="1">
        <f t="array" aca="1" ref="V68" ca="1">_xll.BDH(A68&amp;" AB Equity","MOV_AVG_200D",TODAY()-32,TODAY()-32,"Days=T")</f>
        <v>#N/A N/A</v>
      </c>
      <c r="W68">
        <v>1.9591000000000001</v>
      </c>
      <c r="X68">
        <f>IF(B68="","",_xlfn.SINGLE(_xll.BDP(A68&amp;" AB Equity","MOV_AVG_200D")))</f>
        <v>1.8946000000000001</v>
      </c>
    </row>
    <row r="69" spans="1:24" x14ac:dyDescent="0.25">
      <c r="A69" t="s">
        <v>79</v>
      </c>
      <c r="B69">
        <f>_xll.BDP(A69&amp;" AB Equity","LAST_PRICE")</f>
        <v>14.94</v>
      </c>
      <c r="C69">
        <f>_xll.BDP(A69&amp;" AB Equity","LAST_PRICE")</f>
        <v>14.94</v>
      </c>
      <c r="D69">
        <f>_xll.BDP(A69&amp;" AB Equity","RT_PX_CHG_PCT_1D")</f>
        <v>4.2568001747131348</v>
      </c>
      <c r="E69">
        <f>_xll.BDP(A69&amp;" AB Equity","CHG_PCT_1M_RT")</f>
        <v>-2.0327999999999999</v>
      </c>
      <c r="F69">
        <f>_xll.BDP(A69&amp;" AB Equity","CHG_PCT_YTD_RT")</f>
        <v>1.0142</v>
      </c>
      <c r="G69">
        <f>_xll.BDP(A69&amp;" AB Equity","YEST_LAST_TRADE")</f>
        <v>14.33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522953</v>
      </c>
      <c r="K69">
        <f>_xll.BDP(A69&amp;" AB Equity","OPEN")</f>
        <v>14.72</v>
      </c>
      <c r="L69">
        <f>_xll.BDP(A69&amp;" AB Equity","LOW")</f>
        <v>14.37</v>
      </c>
      <c r="M69">
        <f>_xll.BDP(A69&amp;" AB Equity","HIGH")</f>
        <v>15.11</v>
      </c>
      <c r="N69">
        <f>_xll.BDP(A69&amp;" AB Equity","VWAP")</f>
        <v>14.8241</v>
      </c>
      <c r="O69" t="str">
        <f>_xll.BDP(A69&amp;" AB Equity","SAUDI_ARABIA_EXCHANGE_ID")</f>
        <v>6002</v>
      </c>
      <c r="P69">
        <f>_xll.BDP(A69&amp;" AB Equity","VOLUME_AVG_30D")</f>
        <v>137842</v>
      </c>
      <c r="Q69">
        <f>_xll.BDP(A69&amp;" AB Equity","BID")</f>
        <v>14.94</v>
      </c>
      <c r="R69">
        <f>_xll.BDP(A69&amp;" AB Equity","ASK")</f>
        <v>15</v>
      </c>
      <c r="S69">
        <f>_xll.BDP(A69&amp;" AB Equity","CHG_PCT_MOV_AVG_200D")</f>
        <v>-10.8536</v>
      </c>
      <c r="T69">
        <f>_xll.BDP(A69&amp;" AB Equity","HIGH_30D")</f>
        <v>16.190000000000001</v>
      </c>
      <c r="U69">
        <f>_xll.BDP(A69&amp;" AB Equity","LOW_30D")</f>
        <v>14.08</v>
      </c>
      <c r="V69" s="11" t="str" cm="1">
        <f t="array" aca="1" ref="V69" ca="1">_xll.BDH(A69&amp;" AB Equity","MOV_AVG_200D",TODAY()-32,TODAY()-32,"Days=T")</f>
        <v>#N/A N/A</v>
      </c>
      <c r="W69">
        <v>19.009899999999998</v>
      </c>
      <c r="X69">
        <f>IF(B69="","",_xlfn.SINGLE(_xll.BDP(A69&amp;" AB Equity","MOV_AVG_200D")))</f>
        <v>16.758949999999999</v>
      </c>
    </row>
    <row r="70" spans="1:24" x14ac:dyDescent="0.25">
      <c r="A70" t="s">
        <v>80</v>
      </c>
      <c r="B70">
        <f>_xll.BDP(A70&amp;" AB Equity","LAST_PRICE")</f>
        <v>99.8</v>
      </c>
      <c r="C70">
        <f>_xll.BDP(A70&amp;" AB Equity","LAST_PRICE")</f>
        <v>99.8</v>
      </c>
      <c r="D70">
        <f>_xll.BDP(A70&amp;" AB Equity","RT_PX_CHG_PCT_1D")</f>
        <v>1.7848000526428223</v>
      </c>
      <c r="E70">
        <f>_xll.BDP(A70&amp;" AB Equity","CHG_PCT_1M_RT")</f>
        <v>12.514099999999999</v>
      </c>
      <c r="F70">
        <f>_xll.BDP(A70&amp;" AB Equity","CHG_PCT_YTD_RT")</f>
        <v>-9.0245999999999995</v>
      </c>
      <c r="G70">
        <f>_xll.BDP(A70&amp;" AB Equity","YEST_LAST_TRADE")</f>
        <v>98.05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169377</v>
      </c>
      <c r="K70">
        <f>_xll.BDP(A70&amp;" AB Equity","OPEN")</f>
        <v>98.2</v>
      </c>
      <c r="L70">
        <f>_xll.BDP(A70&amp;" AB Equity","LOW")</f>
        <v>98.2</v>
      </c>
      <c r="M70">
        <f>_xll.BDP(A70&amp;" AB Equity","HIGH")</f>
        <v>104.6</v>
      </c>
      <c r="N70">
        <f>_xll.BDP(A70&amp;" AB Equity","VWAP")</f>
        <v>101.751</v>
      </c>
      <c r="O70" t="str">
        <f>_xll.BDP(A70&amp;" AB Equity","SAUDI_ARABIA_EXCHANGE_ID")</f>
        <v>6013</v>
      </c>
      <c r="P70">
        <f>_xll.BDP(A70&amp;" AB Equity","VOLUME_AVG_30D")</f>
        <v>43377.57</v>
      </c>
      <c r="Q70">
        <f>_xll.BDP(A70&amp;" AB Equity","BID")</f>
        <v>99.8</v>
      </c>
      <c r="R70">
        <f>_xll.BDP(A70&amp;" AB Equity","ASK")</f>
        <v>99.85</v>
      </c>
      <c r="S70">
        <f>_xll.BDP(A70&amp;" AB Equity","CHG_PCT_MOV_AVG_200D")</f>
        <v>-6.5603400000000001</v>
      </c>
      <c r="T70">
        <f>_xll.BDP(A70&amp;" AB Equity","HIGH_30D")</f>
        <v>104</v>
      </c>
      <c r="U70">
        <f>_xll.BDP(A70&amp;" AB Equity","LOW_30D")</f>
        <v>84.2</v>
      </c>
      <c r="V70" s="11" t="str" cm="1">
        <f t="array" aca="1" ref="V70" ca="1">_xll.BDH(A70&amp;" AB Equity","MOV_AVG_200D",TODAY()-32,TODAY()-32,"Days=T")</f>
        <v>#N/A N/A</v>
      </c>
      <c r="W70">
        <v>18.983799999999999</v>
      </c>
      <c r="X70">
        <f>IF(B70="","",_xlfn.SINGLE(_xll.BDP(A70&amp;" AB Equity","MOV_AVG_200D")))</f>
        <v>108.6263</v>
      </c>
    </row>
    <row r="71" spans="1:24" x14ac:dyDescent="0.25">
      <c r="A71" t="s">
        <v>81</v>
      </c>
      <c r="B71">
        <f>_xll.BDP(A71&amp;" AB Equity","LAST_PRICE")</f>
        <v>78.3</v>
      </c>
      <c r="C71">
        <f>_xll.BDP(A71&amp;" AB Equity","LAST_PRICE")</f>
        <v>78.3</v>
      </c>
      <c r="D71">
        <f>_xll.BDP(A71&amp;" AB Equity","RT_PX_CHG_PCT_1D")</f>
        <v>-0.44499999284744263</v>
      </c>
      <c r="E71">
        <f>_xll.BDP(A71&amp;" AB Equity","CHG_PCT_1M_RT")</f>
        <v>-3.2138</v>
      </c>
      <c r="F71">
        <f>_xll.BDP(A71&amp;" AB Equity","CHG_PCT_YTD_RT")</f>
        <v>-21.3065</v>
      </c>
      <c r="G71">
        <f>_xll.BDP(A71&amp;" AB Equity","YEST_LAST_TRADE")</f>
        <v>78.650000000000006</v>
      </c>
      <c r="H71">
        <f>_xll.BDP(A71&amp;" AB Equity","HIGH_52WEEK")</f>
        <v>151.69999999999999</v>
      </c>
      <c r="I71">
        <f>_xll.BDP(A71&amp;" AB Equity","LOW_52WEEK")</f>
        <v>75.7</v>
      </c>
      <c r="J71">
        <f>_xll.BDP(A71&amp;" AB Equity","VOLUME")</f>
        <v>61079</v>
      </c>
      <c r="K71">
        <f>_xll.BDP(A71&amp;" AB Equity","OPEN")</f>
        <v>78.3</v>
      </c>
      <c r="L71">
        <f>_xll.BDP(A71&amp;" AB Equity","LOW")</f>
        <v>78.3</v>
      </c>
      <c r="M71">
        <f>_xll.BDP(A71&amp;" AB Equity","HIGH")</f>
        <v>79</v>
      </c>
      <c r="N71">
        <f>_xll.BDP(A71&amp;" AB Equity","VWAP")</f>
        <v>78.569599999999994</v>
      </c>
      <c r="O71" t="str">
        <f>_xll.BDP(A71&amp;" AB Equity","SAUDI_ARABIA_EXCHANGE_ID")</f>
        <v>1830</v>
      </c>
      <c r="P71">
        <f>_xll.BDP(A71&amp;" AB Equity","VOLUME_AVG_30D")</f>
        <v>116042.8</v>
      </c>
      <c r="Q71">
        <f>_xll.BDP(A71&amp;" AB Equity","BID")</f>
        <v>78.3</v>
      </c>
      <c r="R71">
        <f>_xll.BDP(A71&amp;" AB Equity","ASK")</f>
        <v>78.45</v>
      </c>
      <c r="S71">
        <f>_xll.BDP(A71&amp;" AB Equity","CHG_PCT_MOV_AVG_200D")</f>
        <v>-24.340979999999998</v>
      </c>
      <c r="T71">
        <f>_xll.BDP(A71&amp;" AB Equity","HIGH_30D")</f>
        <v>84.9</v>
      </c>
      <c r="U71">
        <f>_xll.BDP(A71&amp;" AB Equity","LOW_30D")</f>
        <v>78.3</v>
      </c>
      <c r="V71" s="11" t="str" cm="1">
        <f t="array" aca="1" ref="V71" ca="1">_xll.BDH(A71&amp;" AB Equity","MOV_AVG_200D",TODAY()-32,TODAY()-32,"Days=T")</f>
        <v>#N/A N/A</v>
      </c>
      <c r="W71">
        <v>18.950099999999999</v>
      </c>
      <c r="X71">
        <f>IF(B71="","",_xlfn.SINGLE(_xll.BDP(A71&amp;" AB Equity","MOV_AVG_200D")))</f>
        <v>104.1515</v>
      </c>
    </row>
    <row r="72" spans="1:24" x14ac:dyDescent="0.25">
      <c r="A72" t="s">
        <v>429</v>
      </c>
      <c r="B72">
        <f>_xll.BDP(A72&amp;" AB Equity","LAST_PRICE")</f>
        <v>17.5</v>
      </c>
      <c r="C72">
        <f>_xll.BDP(A72&amp;" AB Equity","LAST_PRICE")</f>
        <v>17.5</v>
      </c>
      <c r="D72">
        <f>_xll.BDP(A72&amp;" AB Equity","RT_PX_CHG_PCT_1D")</f>
        <v>2.3991000652313232</v>
      </c>
      <c r="E72">
        <f>_xll.BDP(A72&amp;" AB Equity","CHG_PCT_1M_RT")</f>
        <v>10.132199999999999</v>
      </c>
      <c r="F72">
        <f>_xll.BDP(A72&amp;" AB Equity","CHG_PCT_YTD_RT")</f>
        <v>58.514499999999998</v>
      </c>
      <c r="G72">
        <f>_xll.BDP(A72&amp;" AB Equity","YEST_LAST_TRADE")</f>
        <v>17.09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670642</v>
      </c>
      <c r="K72">
        <f>_xll.BDP(A72&amp;" AB Equity","OPEN")</f>
        <v>17.11</v>
      </c>
      <c r="L72">
        <f>_xll.BDP(A72&amp;" AB Equity","LOW")</f>
        <v>17.11</v>
      </c>
      <c r="M72">
        <f>_xll.BDP(A72&amp;" AB Equity","HIGH")</f>
        <v>17.75</v>
      </c>
      <c r="N72">
        <f>_xll.BDP(A72&amp;" AB Equity","VWAP")</f>
        <v>17.5167</v>
      </c>
      <c r="O72" t="str">
        <f>_xll.BDP(A72&amp;" AB Equity","SAUDI_ARABIA_EXCHANGE_ID")</f>
        <v>4170</v>
      </c>
      <c r="P72">
        <f>_xll.BDP(A72&amp;" AB Equity","VOLUME_AVG_30D")</f>
        <v>613471.4</v>
      </c>
      <c r="Q72">
        <f>_xll.BDP(A72&amp;" AB Equity","BID")</f>
        <v>17.5</v>
      </c>
      <c r="R72">
        <f>_xll.BDP(A72&amp;" AB Equity","ASK")</f>
        <v>17.55</v>
      </c>
      <c r="S72">
        <f>_xll.BDP(A72&amp;" AB Equity","CHG_PCT_MOV_AVG_200D")</f>
        <v>16.23208</v>
      </c>
      <c r="T72">
        <f>_xll.BDP(A72&amp;" AB Equity","HIGH_30D")</f>
        <v>18.079999999999998</v>
      </c>
      <c r="U72">
        <f>_xll.BDP(A72&amp;" AB Equity","LOW_30D")</f>
        <v>15.02</v>
      </c>
      <c r="V72" s="11" t="str" cm="1">
        <f t="array" aca="1" ref="V72" ca="1">_xll.BDH(A72&amp;" AB Equity","MOV_AVG_200D",TODAY()-32,TODAY()-32,"Days=T")</f>
        <v>#N/A N/A</v>
      </c>
      <c r="W72">
        <v>18.914999999999999</v>
      </c>
      <c r="X72">
        <f>IF(B72="","",_xlfn.SINGLE(_xll.BDP(A72&amp;" AB Equity","MOV_AVG_200D")))</f>
        <v>14.970050000000001</v>
      </c>
    </row>
    <row r="73" spans="1:24" x14ac:dyDescent="0.25">
      <c r="A73" t="s">
        <v>83</v>
      </c>
      <c r="B73">
        <f>_xll.BDP(A73&amp;" AB Equity","LAST_PRICE")</f>
        <v>14.98</v>
      </c>
      <c r="C73">
        <f>_xll.BDP(A73&amp;" AB Equity","LAST_PRICE")</f>
        <v>14.98</v>
      </c>
      <c r="D73">
        <f>_xll.BDP(A73&amp;" AB Equity","RT_PX_CHG_PCT_1D")</f>
        <v>0.67199999094009399</v>
      </c>
      <c r="E73">
        <f>_xll.BDP(A73&amp;" AB Equity","CHG_PCT_1M_RT")</f>
        <v>13.4848</v>
      </c>
      <c r="F73">
        <f>_xll.BDP(A73&amp;" AB Equity","CHG_PCT_YTD_RT")</f>
        <v>-37.842300000000002</v>
      </c>
      <c r="G73">
        <f>_xll.BDP(A73&amp;" AB Equity","YEST_LAST_TRADE")</f>
        <v>14.88</v>
      </c>
      <c r="H73">
        <f>_xll.BDP(A73&amp;" AB Equity","HIGH_52WEEK")</f>
        <v>32.4</v>
      </c>
      <c r="I73">
        <f>_xll.BDP(A73&amp;" AB Equity","LOW_52WEEK")</f>
        <v>13</v>
      </c>
      <c r="J73">
        <f>_xll.BDP(A73&amp;" AB Equity","VOLUME")</f>
        <v>158797</v>
      </c>
      <c r="K73">
        <f>_xll.BDP(A73&amp;" AB Equity","OPEN")</f>
        <v>15.16</v>
      </c>
      <c r="L73">
        <f>_xll.BDP(A73&amp;" AB Equity","LOW")</f>
        <v>14.92</v>
      </c>
      <c r="M73">
        <f>_xll.BDP(A73&amp;" AB Equity","HIGH")</f>
        <v>15.4</v>
      </c>
      <c r="N73">
        <f>_xll.BDP(A73&amp;" AB Equity","VWAP")</f>
        <v>15.1099</v>
      </c>
      <c r="O73" t="str">
        <f>_xll.BDP(A73&amp;" AB Equity","SAUDI_ARABIA_EXCHANGE_ID")</f>
        <v>6012</v>
      </c>
      <c r="P73">
        <f>_xll.BDP(A73&amp;" AB Equity","VOLUME_AVG_30D")</f>
        <v>99276.47</v>
      </c>
      <c r="Q73">
        <f>_xll.BDP(A73&amp;" AB Equity","BID")</f>
        <v>14.98</v>
      </c>
      <c r="R73">
        <f>_xll.BDP(A73&amp;" AB Equity","ASK")</f>
        <v>15.18</v>
      </c>
      <c r="S73">
        <f>_xll.BDP(A73&amp;" AB Equity","CHG_PCT_MOV_AVG_200D")</f>
        <v>-33.102440000000001</v>
      </c>
      <c r="T73">
        <f>_xll.BDP(A73&amp;" AB Equity","HIGH_30D")</f>
        <v>16.7</v>
      </c>
      <c r="U73">
        <f>_xll.BDP(A73&amp;" AB Equity","LOW_30D")</f>
        <v>13</v>
      </c>
      <c r="V73" s="11" t="str" cm="1">
        <f t="array" aca="1" ref="V73" ca="1">_xll.BDH(A73&amp;" AB Equity","MOV_AVG_200D",TODAY()-32,TODAY()-32,"Days=T")</f>
        <v>#N/A N/A</v>
      </c>
      <c r="W73">
        <v>18.878699999999998</v>
      </c>
      <c r="X73">
        <f>IF(B73="","",_xlfn.SINGLE(_xll.BDP(A73&amp;" AB Equity","MOV_AVG_200D")))</f>
        <v>22.422339999999998</v>
      </c>
    </row>
    <row r="74" spans="1:24" x14ac:dyDescent="0.25">
      <c r="A74" t="s">
        <v>84</v>
      </c>
      <c r="B74">
        <f>_xll.BDP(A74&amp;" AB Equity","LAST_PRICE")</f>
        <v>21.06</v>
      </c>
      <c r="C74">
        <f>_xll.BDP(A74&amp;" AB Equity","LAST_PRICE")</f>
        <v>21.06</v>
      </c>
      <c r="D74">
        <f>_xll.BDP(A74&amp;" AB Equity","RT_PX_CHG_PCT_1D")</f>
        <v>1.104200005531311</v>
      </c>
      <c r="E74">
        <f>_xll.BDP(A74&amp;" AB Equity","CHG_PCT_1M_RT")</f>
        <v>-2.6802000000000001</v>
      </c>
      <c r="F74">
        <f>_xll.BDP(A74&amp;" AB Equity","CHG_PCT_YTD_RT")</f>
        <v>-21.417899999999999</v>
      </c>
      <c r="G74">
        <f>_xll.BDP(A74&amp;" AB Equity","YEST_LAST_TRADE")</f>
        <v>20.83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348967</v>
      </c>
      <c r="K74">
        <f>_xll.BDP(A74&amp;" AB Equity","OPEN")</f>
        <v>20.86</v>
      </c>
      <c r="L74">
        <f>_xll.BDP(A74&amp;" AB Equity","LOW")</f>
        <v>20.86</v>
      </c>
      <c r="M74">
        <f>_xll.BDP(A74&amp;" AB Equity","HIGH")</f>
        <v>21.23</v>
      </c>
      <c r="N74">
        <f>_xll.BDP(A74&amp;" AB Equity","VWAP")</f>
        <v>21.064699999999998</v>
      </c>
      <c r="O74" t="str">
        <f>_xll.BDP(A74&amp;" AB Equity","SAUDI_ARABIA_EXCHANGE_ID")</f>
        <v>1810</v>
      </c>
      <c r="P74">
        <f>_xll.BDP(A74&amp;" AB Equity","VOLUME_AVG_30D")</f>
        <v>516428</v>
      </c>
      <c r="Q74">
        <f>_xll.BDP(A74&amp;" AB Equity","BID")</f>
        <v>21</v>
      </c>
      <c r="R74">
        <f>_xll.BDP(A74&amp;" AB Equity","ASK")</f>
        <v>21.06</v>
      </c>
      <c r="S74">
        <f>_xll.BDP(A74&amp;" AB Equity","CHG_PCT_MOV_AVG_200D")</f>
        <v>-16.535350000000001</v>
      </c>
      <c r="T74">
        <f>_xll.BDP(A74&amp;" AB Equity","HIGH_30D")</f>
        <v>22.32</v>
      </c>
      <c r="U74">
        <f>_xll.BDP(A74&amp;" AB Equity","LOW_30D")</f>
        <v>20.16</v>
      </c>
      <c r="V74" s="11" t="str" cm="1">
        <f t="array" aca="1" ref="V74" ca="1">_xll.BDH(A74&amp;" AB Equity","MOV_AVG_200D",TODAY()-32,TODAY()-32,"Days=T")</f>
        <v>#N/A N/A</v>
      </c>
      <c r="W74">
        <v>18.833500000000001</v>
      </c>
      <c r="X74">
        <f>IF(B74="","",_xlfn.SINGLE(_xll.BDP(A74&amp;" AB Equity","MOV_AVG_200D")))</f>
        <v>25.2562</v>
      </c>
    </row>
    <row r="75" spans="1:24" x14ac:dyDescent="0.25">
      <c r="A75" t="s">
        <v>85</v>
      </c>
      <c r="B75">
        <f>_xll.BDP(A75&amp;" AB Equity","LAST_PRICE")</f>
        <v>51.9</v>
      </c>
      <c r="C75">
        <f>_xll.BDP(A75&amp;" AB Equity","LAST_PRICE")</f>
        <v>51.9</v>
      </c>
      <c r="D75">
        <f>_xll.BDP(A75&amp;" AB Equity","RT_PX_CHG_PCT_1D")</f>
        <v>4.1332001686096191</v>
      </c>
      <c r="E75">
        <f>_xll.BDP(A75&amp;" AB Equity","CHG_PCT_1M_RT")</f>
        <v>-0.47939999999999999</v>
      </c>
      <c r="F75">
        <f>_xll.BDP(A75&amp;" AB Equity","CHG_PCT_YTD_RT")</f>
        <v>-11.130100000000001</v>
      </c>
      <c r="G75">
        <f>_xll.BDP(A75&amp;" AB Equity","YEST_LAST_TRADE")</f>
        <v>49.84</v>
      </c>
      <c r="H75">
        <f>_xll.BDP(A75&amp;" AB Equity","HIGH_52WEEK")</f>
        <v>70.599999999999994</v>
      </c>
      <c r="I75">
        <f>_xll.BDP(A75&amp;" AB Equity","LOW_52WEEK")</f>
        <v>49.38</v>
      </c>
      <c r="J75">
        <f>_xll.BDP(A75&amp;" AB Equity","VOLUME")</f>
        <v>117740</v>
      </c>
      <c r="K75">
        <f>_xll.BDP(A75&amp;" AB Equity","OPEN")</f>
        <v>49.84</v>
      </c>
      <c r="L75">
        <f>_xll.BDP(A75&amp;" AB Equity","LOW")</f>
        <v>49.54</v>
      </c>
      <c r="M75">
        <f>_xll.BDP(A75&amp;" AB Equity","HIGH")</f>
        <v>51.9</v>
      </c>
      <c r="N75">
        <f>_xll.BDP(A75&amp;" AB Equity","VWAP")</f>
        <v>50.517499999999998</v>
      </c>
      <c r="O75" t="str">
        <f>_xll.BDP(A75&amp;" AB Equity","SAUDI_ARABIA_EXCHANGE_ID")</f>
        <v>4292</v>
      </c>
      <c r="P75">
        <f>_xll.BDP(A75&amp;" AB Equity","VOLUME_AVG_30D")</f>
        <v>44930.13</v>
      </c>
      <c r="Q75">
        <f>_xll.BDP(A75&amp;" AB Equity","BID")</f>
        <v>51.3</v>
      </c>
      <c r="R75">
        <f>_xll.BDP(A75&amp;" AB Equity","ASK")</f>
        <v>51.9</v>
      </c>
      <c r="S75">
        <f>_xll.BDP(A75&amp;" AB Equity","CHG_PCT_MOV_AVG_200D")</f>
        <v>-13.77234</v>
      </c>
      <c r="T75">
        <f>_xll.BDP(A75&amp;" AB Equity","HIGH_30D")</f>
        <v>54.1</v>
      </c>
      <c r="U75">
        <f>_xll.BDP(A75&amp;" AB Equity","LOW_30D")</f>
        <v>49.38</v>
      </c>
      <c r="V75" s="11" t="str" cm="1">
        <f t="array" aca="1" ref="V75" ca="1">_xll.BDH(A75&amp;" AB Equity","MOV_AVG_200D",TODAY()-32,TODAY()-32,"Days=T")</f>
        <v>#N/A N/A</v>
      </c>
      <c r="W75">
        <v>111.8857</v>
      </c>
      <c r="X75">
        <f>IF(B75="","",_xlfn.SINGLE(_xll.BDP(A75&amp;" AB Equity","MOV_AVG_200D")))</f>
        <v>57.916449999999998</v>
      </c>
    </row>
    <row r="76" spans="1:24" x14ac:dyDescent="0.25">
      <c r="A76" t="s">
        <v>86</v>
      </c>
      <c r="B76">
        <f>_xll.BDP(A76&amp;" AB Equity","LAST_PRICE")</f>
        <v>2.0499999999999998</v>
      </c>
      <c r="C76">
        <f>_xll.BDP(A76&amp;" AB Equity","LAST_PRICE")</f>
        <v>2.0499999999999998</v>
      </c>
      <c r="D76">
        <f>_xll.BDP(A76&amp;" AB Equity","RT_PX_CHG_PCT_1D")</f>
        <v>0.98519998788833618</v>
      </c>
      <c r="E76">
        <f>_xll.BDP(A76&amp;" AB Equity","CHG_PCT_1M_RT")</f>
        <v>7.3297999999999996</v>
      </c>
      <c r="F76">
        <f>_xll.BDP(A76&amp;" AB Equity","CHG_PCT_YTD_RT")</f>
        <v>16.4773</v>
      </c>
      <c r="G76">
        <f>_xll.BDP(A76&amp;" AB Equity","YEST_LAST_TRADE")</f>
        <v>2.0299999999999998</v>
      </c>
      <c r="H76">
        <f>_xll.BDP(A76&amp;" AB Equity","HIGH_52WEEK")</f>
        <v>2.69</v>
      </c>
      <c r="I76">
        <f>_xll.BDP(A76&amp;" AB Equity","LOW_52WEEK")</f>
        <v>1.64</v>
      </c>
      <c r="J76">
        <f>_xll.BDP(A76&amp;" AB Equity","VOLUME")</f>
        <v>4611647</v>
      </c>
      <c r="K76">
        <f>_xll.BDP(A76&amp;" AB Equity","OPEN")</f>
        <v>2.0299999999999998</v>
      </c>
      <c r="L76">
        <f>_xll.BDP(A76&amp;" AB Equity","LOW")</f>
        <v>2.0099999999999998</v>
      </c>
      <c r="M76">
        <f>_xll.BDP(A76&amp;" AB Equity","HIGH")</f>
        <v>2.06</v>
      </c>
      <c r="N76">
        <f>_xll.BDP(A76&amp;" AB Equity","VWAP")</f>
        <v>2.0426000000000002</v>
      </c>
      <c r="O76" t="str">
        <f>_xll.BDP(A76&amp;" AB Equity","SAUDI_ARABIA_EXCHANGE_ID")</f>
        <v>1820</v>
      </c>
      <c r="P76">
        <f>_xll.BDP(A76&amp;" AB Equity","VOLUME_AVG_30D")</f>
        <v>5590937</v>
      </c>
      <c r="Q76">
        <f>_xll.BDP(A76&amp;" AB Equity","BID")</f>
        <v>2.04</v>
      </c>
      <c r="R76">
        <f>_xll.BDP(A76&amp;" AB Equity","ASK")</f>
        <v>2.0499999999999998</v>
      </c>
      <c r="S76">
        <f>_xll.BDP(A76&amp;" AB Equity","CHG_PCT_MOV_AVG_200D")</f>
        <v>4.7762640000000003</v>
      </c>
      <c r="T76">
        <f>_xll.BDP(A76&amp;" AB Equity","HIGH_30D")</f>
        <v>2.25</v>
      </c>
      <c r="U76">
        <f>_xll.BDP(A76&amp;" AB Equity","LOW_30D")</f>
        <v>1.87</v>
      </c>
      <c r="V76" s="11" t="str" cm="1">
        <f t="array" aca="1" ref="V76" ca="1">_xll.BDH(A76&amp;" AB Equity","MOV_AVG_200D",TODAY()-32,TODAY()-32,"Days=T")</f>
        <v>#N/A N/A</v>
      </c>
      <c r="W76">
        <v>119.0043</v>
      </c>
      <c r="X76">
        <f>IF(B76="","",_xlfn.SINGLE(_xll.BDP(A76&amp;" AB Equity","MOV_AVG_200D")))</f>
        <v>1.95655</v>
      </c>
    </row>
    <row r="77" spans="1:24" x14ac:dyDescent="0.25">
      <c r="A77" t="s">
        <v>87</v>
      </c>
      <c r="B77">
        <f>_xll.BDP(A77&amp;" AB Equity","LAST_PRICE")</f>
        <v>39.94</v>
      </c>
      <c r="C77">
        <f>_xll.BDP(A77&amp;" AB Equity","LAST_PRICE")</f>
        <v>39.94</v>
      </c>
      <c r="D77">
        <f>_xll.BDP(A77&amp;" AB Equity","RT_PX_CHG_PCT_1D")</f>
        <v>0.60449999570846558</v>
      </c>
      <c r="E77">
        <f>_xll.BDP(A77&amp;" AB Equity","CHG_PCT_1M_RT")</f>
        <v>-4.8594999999999997</v>
      </c>
      <c r="F77">
        <f>_xll.BDP(A77&amp;" AB Equity","CHG_PCT_YTD_RT")</f>
        <v>-0.69620000000000004</v>
      </c>
      <c r="G77">
        <f>_xll.BDP(A77&amp;" AB Equity","YEST_LAST_TRADE")</f>
        <v>39.700000000000003</v>
      </c>
      <c r="H77">
        <f>_xll.BDP(A77&amp;" AB Equity","HIGH_52WEEK")</f>
        <v>57.6</v>
      </c>
      <c r="I77">
        <f>_xll.BDP(A77&amp;" AB Equity","LOW_52WEEK")</f>
        <v>37.68</v>
      </c>
      <c r="J77">
        <f>_xll.BDP(A77&amp;" AB Equity","VOLUME")</f>
        <v>70271</v>
      </c>
      <c r="K77">
        <f>_xll.BDP(A77&amp;" AB Equity","OPEN")</f>
        <v>39.700000000000003</v>
      </c>
      <c r="L77">
        <f>_xll.BDP(A77&amp;" AB Equity","LOW")</f>
        <v>39.659999999999997</v>
      </c>
      <c r="M77">
        <f>_xll.BDP(A77&amp;" AB Equity","HIGH")</f>
        <v>40.18</v>
      </c>
      <c r="N77">
        <f>_xll.BDP(A77&amp;" AB Equity","VWAP")</f>
        <v>40.011200000000002</v>
      </c>
      <c r="O77" t="str">
        <f>_xll.BDP(A77&amp;" AB Equity","SAUDI_ARABIA_EXCHANGE_ID")</f>
        <v>6014</v>
      </c>
      <c r="P77">
        <f>_xll.BDP(A77&amp;" AB Equity","VOLUME_AVG_30D")</f>
        <v>96629.77</v>
      </c>
      <c r="Q77">
        <f>_xll.BDP(A77&amp;" AB Equity","BID")</f>
        <v>39.92</v>
      </c>
      <c r="R77">
        <f>_xll.BDP(A77&amp;" AB Equity","ASK")</f>
        <v>39.94</v>
      </c>
      <c r="S77">
        <f>_xll.BDP(A77&amp;" AB Equity","CHG_PCT_MOV_AVG_200D")</f>
        <v>-9.4817800000000005</v>
      </c>
      <c r="T77">
        <f>_xll.BDP(A77&amp;" AB Equity","HIGH_30D")</f>
        <v>43.84</v>
      </c>
      <c r="U77">
        <f>_xll.BDP(A77&amp;" AB Equity","LOW_30D")</f>
        <v>39</v>
      </c>
      <c r="V77" s="11" t="str" cm="1">
        <f t="array" aca="1" ref="V77" ca="1">_xll.BDH(A77&amp;" AB Equity","MOV_AVG_200D",TODAY()-32,TODAY()-32,"Days=T")</f>
        <v>#N/A N/A</v>
      </c>
      <c r="W77">
        <v>15.6242</v>
      </c>
      <c r="X77">
        <f>IF(B77="","",_xlfn.SINGLE(_xll.BDP(A77&amp;" AB Equity","MOV_AVG_200D")))</f>
        <v>44.19</v>
      </c>
    </row>
    <row r="78" spans="1:24" x14ac:dyDescent="0.25">
      <c r="A78" t="s">
        <v>436</v>
      </c>
      <c r="B78">
        <f>_xll.BDP(A78&amp;" AB Equity","LAST_PRICE")</f>
        <v>23.61</v>
      </c>
      <c r="C78">
        <f>_xll.BDP(A78&amp;" AB Equity","LAST_PRICE")</f>
        <v>23.61</v>
      </c>
      <c r="D78">
        <f>_xll.BDP(A78&amp;" AB Equity","RT_PX_CHG_PCT_1D")</f>
        <v>0.46810001134872437</v>
      </c>
      <c r="E78">
        <f>_xll.BDP(A78&amp;" AB Equity","CHG_PCT_1M_RT")</f>
        <v>6.3513999999999999</v>
      </c>
      <c r="F78">
        <f>_xll.BDP(A78&amp;" AB Equity","CHG_PCT_YTD_RT")</f>
        <v>-5.6355000000000004</v>
      </c>
      <c r="G78">
        <f>_xll.BDP(A78&amp;" AB Equity","YEST_LAST_TRADE")</f>
        <v>23.5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178864</v>
      </c>
      <c r="K78">
        <f>_xll.BDP(A78&amp;" AB Equity","OPEN")</f>
        <v>23.5</v>
      </c>
      <c r="L78">
        <f>_xll.BDP(A78&amp;" AB Equity","LOW")</f>
        <v>23.5</v>
      </c>
      <c r="M78">
        <f>_xll.BDP(A78&amp;" AB Equity","HIGH")</f>
        <v>23.89</v>
      </c>
      <c r="N78">
        <f>_xll.BDP(A78&amp;" AB Equity","VWAP")</f>
        <v>23.684000000000001</v>
      </c>
      <c r="O78" t="str">
        <f>_xll.BDP(A78&amp;" AB Equity","SAUDI_ARABIA_EXCHANGE_ID")</f>
        <v>6019</v>
      </c>
      <c r="P78">
        <f>_xll.BDP(A78&amp;" AB Equity","VOLUME_AVG_30D")</f>
        <v>388832.3</v>
      </c>
      <c r="Q78">
        <f>_xll.BDP(A78&amp;" AB Equity","BID")</f>
        <v>23.61</v>
      </c>
      <c r="R78">
        <f>_xll.BDP(A78&amp;" AB Equity","ASK")</f>
        <v>23.7</v>
      </c>
      <c r="S78" t="str">
        <f>_xll.BDP(A78&amp;" AB Equity","CHG_PCT_MOV_AVG_200D")</f>
        <v>#N/A N/A</v>
      </c>
      <c r="T78">
        <f>_xll.BDP(A78&amp;" AB Equity","HIGH_30D")</f>
        <v>24</v>
      </c>
      <c r="U78">
        <f>_xll.BDP(A78&amp;" AB Equity","LOW_30D")</f>
        <v>20.05</v>
      </c>
      <c r="V78" s="11" t="str" cm="1">
        <f t="array" aca="1" ref="V78" ca="1">_xll.BDH(A78&amp;" AB Equity","MOV_AVG_200D",TODAY()-32,TODAY()-32,"Days=T")</f>
        <v>#N/A N/A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4.88</v>
      </c>
      <c r="C80">
        <f>_xll.BDP(A80&amp;" AB Equity","LAST_PRICE")</f>
        <v>4.88</v>
      </c>
      <c r="D80">
        <f>_xll.BDP(A80&amp;" AB Equity","RT_PX_CHG_PCT_1D")</f>
        <v>-0.20450000464916229</v>
      </c>
      <c r="E80">
        <f>_xll.BDP(A80&amp;" AB Equity","CHG_PCT_1M_RT")</f>
        <v>-1.4140999999999999</v>
      </c>
      <c r="F80">
        <f>_xll.BDP(A80&amp;" AB Equity","CHG_PCT_YTD_RT")</f>
        <v>5.8567999999999998</v>
      </c>
      <c r="G80">
        <f>_xll.BDP(A80&amp;" AB Equity","YEST_LAST_TRADE")</f>
        <v>4.8899999999999997</v>
      </c>
      <c r="H80">
        <f>_xll.BDP(A80&amp;" AB Equity","HIGH_52WEEK")</f>
        <v>6.69</v>
      </c>
      <c r="I80">
        <f>_xll.BDP(A80&amp;" AB Equity","LOW_52WEEK")</f>
        <v>4.0999999999999996</v>
      </c>
      <c r="J80">
        <f>_xll.BDP(A80&amp;" AB Equity","VOLUME")</f>
        <v>556514</v>
      </c>
      <c r="K80">
        <f>_xll.BDP(A80&amp;" AB Equity","OPEN")</f>
        <v>4.88</v>
      </c>
      <c r="L80">
        <f>_xll.BDP(A80&amp;" AB Equity","LOW")</f>
        <v>4.87</v>
      </c>
      <c r="M80">
        <f>_xll.BDP(A80&amp;" AB Equity","HIGH")</f>
        <v>4.93</v>
      </c>
      <c r="N80">
        <f>_xll.BDP(A80&amp;" AB Equity","VWAP")</f>
        <v>4.8973000000000004</v>
      </c>
      <c r="O80" t="str">
        <f>_xll.BDP(A80&amp;" AB Equity","SAUDI_ARABIA_EXCHANGE_ID")</f>
        <v>4161</v>
      </c>
      <c r="P80">
        <f>_xll.BDP(A80&amp;" AB Equity","VOLUME_AVG_30D")</f>
        <v>736500.1</v>
      </c>
      <c r="Q80">
        <f>_xll.BDP(A80&amp;" AB Equity","BID")</f>
        <v>4.88</v>
      </c>
      <c r="R80">
        <f>_xll.BDP(A80&amp;" AB Equity","ASK")</f>
        <v>4.8899999999999997</v>
      </c>
      <c r="S80">
        <f>_xll.BDP(A80&amp;" AB Equity","CHG_PCT_MOV_AVG_200D")</f>
        <v>-2.2282440000000001</v>
      </c>
      <c r="T80">
        <f>_xll.BDP(A80&amp;" AB Equity","HIGH_30D")</f>
        <v>5.35</v>
      </c>
      <c r="U80">
        <f>_xll.BDP(A80&amp;" AB Equity","LOW_30D")</f>
        <v>4.7699999999999996</v>
      </c>
      <c r="V80" s="11" t="str" cm="1">
        <f t="array" aca="1" ref="V80" ca="1">_xll.BDH(A80&amp;" AB Equity","MOV_AVG_200D",TODAY()-32,TODAY()-32,"Days=T")</f>
        <v>#N/A N/A</v>
      </c>
      <c r="W80">
        <v>5.2462999999999997</v>
      </c>
      <c r="X80">
        <f>IF(B80="","",_xlfn.SINGLE(_xll.BDP(A80&amp;" AB Equity","MOV_AVG_200D")))</f>
        <v>5.0218999999999996</v>
      </c>
    </row>
    <row r="81" spans="1:24" x14ac:dyDescent="0.25">
      <c r="A81" t="s">
        <v>90</v>
      </c>
      <c r="B81">
        <f>_xll.BDP(A81&amp;" AB Equity","LAST_PRICE")</f>
        <v>43.5</v>
      </c>
      <c r="C81">
        <f>_xll.BDP(A81&amp;" AB Equity","LAST_PRICE")</f>
        <v>43.5</v>
      </c>
      <c r="D81">
        <f>_xll.BDP(A81&amp;" AB Equity","RT_PX_CHG_PCT_1D")</f>
        <v>0</v>
      </c>
      <c r="E81">
        <f>_xll.BDP(A81&amp;" AB Equity","CHG_PCT_1M_RT")</f>
        <v>-9.6386000000000003</v>
      </c>
      <c r="F81">
        <f>_xll.BDP(A81&amp;" AB Equity","CHG_PCT_YTD_RT")</f>
        <v>-12.825699999999999</v>
      </c>
      <c r="G81">
        <f>_xll.BDP(A81&amp;" AB Equity","YEST_LAST_TRADE")</f>
        <v>43.5</v>
      </c>
      <c r="H81">
        <f>_xll.BDP(A81&amp;" AB Equity","HIGH_52WEEK")</f>
        <v>80.05</v>
      </c>
      <c r="I81">
        <f>_xll.BDP(A81&amp;" AB Equity","LOW_52WEEK")</f>
        <v>43</v>
      </c>
      <c r="J81">
        <f>_xll.BDP(A81&amp;" AB Equity","VOLUME")</f>
        <v>63402</v>
      </c>
      <c r="K81">
        <f>_xll.BDP(A81&amp;" AB Equity","OPEN")</f>
        <v>43.5</v>
      </c>
      <c r="L81">
        <f>_xll.BDP(A81&amp;" AB Equity","LOW")</f>
        <v>43.5</v>
      </c>
      <c r="M81">
        <f>_xll.BDP(A81&amp;" AB Equity","HIGH")</f>
        <v>43.88</v>
      </c>
      <c r="N81">
        <f>_xll.BDP(A81&amp;" AB Equity","VWAP")</f>
        <v>43.651600000000002</v>
      </c>
      <c r="O81" t="str">
        <f>_xll.BDP(A81&amp;" AB Equity","SAUDI_ARABIA_EXCHANGE_ID")</f>
        <v>4163</v>
      </c>
      <c r="P81">
        <f>_xll.BDP(A81&amp;" AB Equity","VOLUME_AVG_30D")</f>
        <v>159899.5</v>
      </c>
      <c r="Q81">
        <f>_xll.BDP(A81&amp;" AB Equity","BID")</f>
        <v>43.5</v>
      </c>
      <c r="R81">
        <f>_xll.BDP(A81&amp;" AB Equity","ASK")</f>
        <v>43.6</v>
      </c>
      <c r="S81">
        <f>_xll.BDP(A81&amp;" AB Equity","CHG_PCT_MOV_AVG_200D")</f>
        <v>-18.89404</v>
      </c>
      <c r="T81">
        <f>_xll.BDP(A81&amp;" AB Equity","HIGH_30D")</f>
        <v>49.16</v>
      </c>
      <c r="U81">
        <f>_xll.BDP(A81&amp;" AB Equity","LOW_30D")</f>
        <v>43</v>
      </c>
      <c r="V81" s="11" t="str" cm="1">
        <f t="array" aca="1" ref="V81" ca="1">_xll.BDH(A81&amp;" AB Equity","MOV_AVG_200D",TODAY()-32,TODAY()-32,"Days=T")</f>
        <v>#N/A N/A</v>
      </c>
      <c r="W81">
        <v>5.2428999999999997</v>
      </c>
      <c r="X81">
        <f>IF(B81="","",_xlfn.SINGLE(_xll.BDP(A81&amp;" AB Equity","MOV_AVG_200D")))</f>
        <v>53.929450000000003</v>
      </c>
    </row>
    <row r="82" spans="1:24" x14ac:dyDescent="0.25">
      <c r="A82" t="s">
        <v>91</v>
      </c>
      <c r="B82">
        <f>_xll.BDP(A82&amp;" AB Equity","LAST_PRICE")</f>
        <v>5.86</v>
      </c>
      <c r="C82">
        <f>_xll.BDP(A82&amp;" AB Equity","LAST_PRICE")</f>
        <v>5.86</v>
      </c>
      <c r="D82">
        <f>_xll.BDP(A82&amp;" AB Equity","RT_PX_CHG_PCT_1D")</f>
        <v>-0.1703999936580658</v>
      </c>
      <c r="E82">
        <f>_xll.BDP(A82&amp;" AB Equity","CHG_PCT_1M_RT")</f>
        <v>-0.84599999999999997</v>
      </c>
      <c r="F82">
        <f>_xll.BDP(A82&amp;" AB Equity","CHG_PCT_YTD_RT")</f>
        <v>-4.4046000000000003</v>
      </c>
      <c r="G82">
        <f>_xll.BDP(A82&amp;" AB Equity","YEST_LAST_TRADE")</f>
        <v>5.87</v>
      </c>
      <c r="H82">
        <f>_xll.BDP(A82&amp;" AB Equity","HIGH_52WEEK")</f>
        <v>7.95</v>
      </c>
      <c r="I82">
        <f>_xll.BDP(A82&amp;" AB Equity","LOW_52WEEK")</f>
        <v>5.75</v>
      </c>
      <c r="J82">
        <f>_xll.BDP(A82&amp;" AB Equity","VOLUME")</f>
        <v>1241115</v>
      </c>
      <c r="K82">
        <f>_xll.BDP(A82&amp;" AB Equity","OPEN")</f>
        <v>5.87</v>
      </c>
      <c r="L82">
        <f>_xll.BDP(A82&amp;" AB Equity","LOW")</f>
        <v>5.81</v>
      </c>
      <c r="M82">
        <f>_xll.BDP(A82&amp;" AB Equity","HIGH")</f>
        <v>5.87</v>
      </c>
      <c r="N82">
        <f>_xll.BDP(A82&amp;" AB Equity","VWAP")</f>
        <v>5.8410000000000002</v>
      </c>
      <c r="O82" t="str">
        <f>_xll.BDP(A82&amp;" AB Equity","SAUDI_ARABIA_EXCHANGE_ID")</f>
        <v>4001</v>
      </c>
      <c r="P82">
        <f>_xll.BDP(A82&amp;" AB Equity","VOLUME_AVG_30D")</f>
        <v>958857.9</v>
      </c>
      <c r="Q82">
        <f>_xll.BDP(A82&amp;" AB Equity","BID")</f>
        <v>5.84</v>
      </c>
      <c r="R82">
        <f>_xll.BDP(A82&amp;" AB Equity","ASK")</f>
        <v>5.86</v>
      </c>
      <c r="S82">
        <f>_xll.BDP(A82&amp;" AB Equity","CHG_PCT_MOV_AVG_200D")</f>
        <v>-11.08531</v>
      </c>
      <c r="T82">
        <f>_xll.BDP(A82&amp;" AB Equity","HIGH_30D")</f>
        <v>5.97</v>
      </c>
      <c r="U82">
        <f>_xll.BDP(A82&amp;" AB Equity","LOW_30D")</f>
        <v>5.85</v>
      </c>
      <c r="V82" s="11" t="str" cm="1">
        <f t="array" aca="1" ref="V82" ca="1">_xll.BDH(A82&amp;" AB Equity","MOV_AVG_200D",TODAY()-32,TODAY()-32,"Days=T")</f>
        <v>#N/A N/A</v>
      </c>
      <c r="W82">
        <v>5.2388000000000003</v>
      </c>
      <c r="X82">
        <f>IF(B82="","",_xlfn.SINGLE(_xll.BDP(A82&amp;" AB Equity","MOV_AVG_200D")))</f>
        <v>6.5456000000000003</v>
      </c>
    </row>
    <row r="83" spans="1:24" x14ac:dyDescent="0.25">
      <c r="A83" t="s">
        <v>92</v>
      </c>
      <c r="B83">
        <f>_xll.BDP(A83&amp;" AB Equity","LAST_PRICE")</f>
        <v>36.04</v>
      </c>
      <c r="C83">
        <f>_xll.BDP(A83&amp;" AB Equity","LAST_PRICE")</f>
        <v>36.04</v>
      </c>
      <c r="D83">
        <f>_xll.BDP(A83&amp;" AB Equity","RT_PX_CHG_PCT_1D")</f>
        <v>0.72670000791549683</v>
      </c>
      <c r="E83">
        <f>_xll.BDP(A83&amp;" AB Equity","CHG_PCT_1M_RT")</f>
        <v>10.756</v>
      </c>
      <c r="F83">
        <f>_xll.BDP(A83&amp;" AB Equity","CHG_PCT_YTD_RT")</f>
        <v>-5.3571</v>
      </c>
      <c r="G83">
        <f>_xll.BDP(A83&amp;" AB Equity","YEST_LAST_TRADE")</f>
        <v>35.78</v>
      </c>
      <c r="H83">
        <f>_xll.BDP(A83&amp;" AB Equity","HIGH_52WEEK")</f>
        <v>50.85</v>
      </c>
      <c r="I83">
        <f>_xll.BDP(A83&amp;" AB Equity","LOW_52WEEK")</f>
        <v>28.9</v>
      </c>
      <c r="J83">
        <f>_xll.BDP(A83&amp;" AB Equity","VOLUME")</f>
        <v>506001</v>
      </c>
      <c r="K83">
        <f>_xll.BDP(A83&amp;" AB Equity","OPEN")</f>
        <v>36.18</v>
      </c>
      <c r="L83">
        <f>_xll.BDP(A83&amp;" AB Equity","LOW")</f>
        <v>35.520000000000003</v>
      </c>
      <c r="M83">
        <f>_xll.BDP(A83&amp;" AB Equity","HIGH")</f>
        <v>37</v>
      </c>
      <c r="N83">
        <f>_xll.BDP(A83&amp;" AB Equity","VWAP")</f>
        <v>36.456600000000002</v>
      </c>
      <c r="O83" t="str">
        <f>_xll.BDP(A83&amp;" AB Equity","SAUDI_ARABIA_EXCHANGE_ID")</f>
        <v>4160</v>
      </c>
      <c r="P83">
        <f>_xll.BDP(A83&amp;" AB Equity","VOLUME_AVG_30D")</f>
        <v>176111.1</v>
      </c>
      <c r="Q83">
        <f>_xll.BDP(A83&amp;" AB Equity","BID")</f>
        <v>36.020000000000003</v>
      </c>
      <c r="R83">
        <f>_xll.BDP(A83&amp;" AB Equity","ASK")</f>
        <v>36.04</v>
      </c>
      <c r="S83">
        <f>_xll.BDP(A83&amp;" AB Equity","CHG_PCT_MOV_AVG_200D")</f>
        <v>-2.5830690000000001</v>
      </c>
      <c r="T83">
        <f>_xll.BDP(A83&amp;" AB Equity","HIGH_30D")</f>
        <v>37.5</v>
      </c>
      <c r="U83">
        <f>_xll.BDP(A83&amp;" AB Equity","LOW_30D")</f>
        <v>28.9</v>
      </c>
      <c r="V83" s="11" t="str" cm="1">
        <f t="array" aca="1" ref="V83" ca="1">_xll.BDH(A83&amp;" AB Equity","MOV_AVG_200D",TODAY()-32,TODAY()-32,"Days=T")</f>
        <v>#N/A N/A</v>
      </c>
      <c r="W83">
        <v>5.2343999999999999</v>
      </c>
      <c r="X83">
        <f>IF(B83="","",_xlfn.SINGLE(_xll.BDP(A83&amp;" AB Equity","MOV_AVG_200D")))</f>
        <v>37.488349999999997</v>
      </c>
    </row>
    <row r="84" spans="1:24" x14ac:dyDescent="0.25">
      <c r="A84" t="s">
        <v>93</v>
      </c>
      <c r="B84">
        <f>_xll.BDP(A84&amp;" AB Equity","LAST_PRICE")</f>
        <v>12.43</v>
      </c>
      <c r="C84">
        <f>_xll.BDP(A84&amp;" AB Equity","LAST_PRICE")</f>
        <v>12.43</v>
      </c>
      <c r="D84">
        <f>_xll.BDP(A84&amp;" AB Equity","RT_PX_CHG_PCT_1D")</f>
        <v>3.0680000782012939</v>
      </c>
      <c r="E84">
        <f>_xll.BDP(A84&amp;" AB Equity","CHG_PCT_1M_RT")</f>
        <v>21.0321</v>
      </c>
      <c r="F84">
        <f>_xll.BDP(A84&amp;" AB Equity","CHG_PCT_YTD_RT")</f>
        <v>8.5589999999999993</v>
      </c>
      <c r="G84">
        <f>_xll.BDP(A84&amp;" AB Equity","YEST_LAST_TRADE")</f>
        <v>12.06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1358245</v>
      </c>
      <c r="K84">
        <f>_xll.BDP(A84&amp;" AB Equity","OPEN")</f>
        <v>12.14</v>
      </c>
      <c r="L84">
        <f>_xll.BDP(A84&amp;" AB Equity","LOW")</f>
        <v>12</v>
      </c>
      <c r="M84">
        <f>_xll.BDP(A84&amp;" AB Equity","HIGH")</f>
        <v>12.62</v>
      </c>
      <c r="N84">
        <f>_xll.BDP(A84&amp;" AB Equity","VWAP")</f>
        <v>12.388199999999999</v>
      </c>
      <c r="O84" t="str">
        <f>_xll.BDP(A84&amp;" AB Equity","SAUDI_ARABIA_EXCHANGE_ID")</f>
        <v>4061</v>
      </c>
      <c r="P84">
        <f>_xll.BDP(A84&amp;" AB Equity","VOLUME_AVG_30D")</f>
        <v>721387.4</v>
      </c>
      <c r="Q84">
        <f>_xll.BDP(A84&amp;" AB Equity","BID")</f>
        <v>12.42</v>
      </c>
      <c r="R84">
        <f>_xll.BDP(A84&amp;" AB Equity","ASK")</f>
        <v>12.43</v>
      </c>
      <c r="S84">
        <f>_xll.BDP(A84&amp;" AB Equity","CHG_PCT_MOV_AVG_200D")</f>
        <v>-1.1099030000000001</v>
      </c>
      <c r="T84">
        <f>_xll.BDP(A84&amp;" AB Equity","HIGH_30D")</f>
        <v>12.66</v>
      </c>
      <c r="U84">
        <f>_xll.BDP(A84&amp;" AB Equity","LOW_30D")</f>
        <v>10.1</v>
      </c>
      <c r="V84" s="11" t="str" cm="1">
        <f t="array" aca="1" ref="V84" ca="1">_xll.BDH(A84&amp;" AB Equity","MOV_AVG_200D",TODAY()-32,TODAY()-32,"Days=T")</f>
        <v>#N/A N/A</v>
      </c>
      <c r="W84">
        <v>5.2294999999999998</v>
      </c>
      <c r="X84">
        <f>IF(B84="","",_xlfn.SINGLE(_xll.BDP(A84&amp;" AB Equity","MOV_AVG_200D")))</f>
        <v>12.43805</v>
      </c>
    </row>
    <row r="85" spans="1:24" x14ac:dyDescent="0.25">
      <c r="A85" t="s">
        <v>94</v>
      </c>
      <c r="B85">
        <f>_xll.BDP(A85&amp;" AB Equity","LAST_PRICE")</f>
        <v>13.13</v>
      </c>
      <c r="C85">
        <f>_xll.BDP(A85&amp;" AB Equity","LAST_PRICE")</f>
        <v>13.13</v>
      </c>
      <c r="D85">
        <f>_xll.BDP(A85&amp;" AB Equity","RT_PX_CHG_PCT_1D")</f>
        <v>2.1789999008178711</v>
      </c>
      <c r="E85">
        <f>_xll.BDP(A85&amp;" AB Equity","CHG_PCT_1M_RT")</f>
        <v>1.39</v>
      </c>
      <c r="F85">
        <f>_xll.BDP(A85&amp;" AB Equity","CHG_PCT_YTD_RT")</f>
        <v>-6.2142999999999997</v>
      </c>
      <c r="G85">
        <f>_xll.BDP(A85&amp;" AB Equity","YEST_LAST_TRADE")</f>
        <v>12.85</v>
      </c>
      <c r="H85">
        <f>_xll.BDP(A85&amp;" AB Equity","HIGH_52WEEK")</f>
        <v>18.59</v>
      </c>
      <c r="I85">
        <f>_xll.BDP(A85&amp;" AB Equity","LOW_52WEEK")</f>
        <v>11.82</v>
      </c>
      <c r="J85">
        <f>_xll.BDP(A85&amp;" AB Equity","VOLUME")</f>
        <v>190840</v>
      </c>
      <c r="K85">
        <f>_xll.BDP(A85&amp;" AB Equity","OPEN")</f>
        <v>12.8</v>
      </c>
      <c r="L85">
        <f>_xll.BDP(A85&amp;" AB Equity","LOW")</f>
        <v>12.8</v>
      </c>
      <c r="M85">
        <f>_xll.BDP(A85&amp;" AB Equity","HIGH")</f>
        <v>13.36</v>
      </c>
      <c r="N85">
        <f>_xll.BDP(A85&amp;" AB Equity","VWAP")</f>
        <v>13.1014</v>
      </c>
      <c r="O85" t="str">
        <f>_xll.BDP(A85&amp;" AB Equity","SAUDI_ARABIA_EXCHANGE_ID")</f>
        <v>4006</v>
      </c>
      <c r="P85">
        <f>_xll.BDP(A85&amp;" AB Equity","VOLUME_AVG_30D")</f>
        <v>40968.46</v>
      </c>
      <c r="Q85">
        <f>_xll.BDP(A85&amp;" AB Equity","BID")</f>
        <v>13.13</v>
      </c>
      <c r="R85">
        <f>_xll.BDP(A85&amp;" AB Equity","ASK")</f>
        <v>13.2</v>
      </c>
      <c r="S85">
        <f>_xll.BDP(A85&amp;" AB Equity","CHG_PCT_MOV_AVG_200D")</f>
        <v>-8.593788</v>
      </c>
      <c r="T85">
        <f>_xll.BDP(A85&amp;" AB Equity","HIGH_30D")</f>
        <v>13.25</v>
      </c>
      <c r="U85">
        <f>_xll.BDP(A85&amp;" AB Equity","LOW_30D")</f>
        <v>12.62</v>
      </c>
      <c r="V85" s="11" t="str" cm="1">
        <f t="array" aca="1" ref="V85" ca="1">_xll.BDH(A85&amp;" AB Equity","MOV_AVG_200D",TODAY()-32,TODAY()-32,"Days=T")</f>
        <v>#N/A N/A</v>
      </c>
      <c r="W85">
        <v>5.2247000000000003</v>
      </c>
      <c r="X85">
        <f>IF(B85="","",_xlfn.SINGLE(_xll.BDP(A85&amp;" AB Equity","MOV_AVG_200D")))</f>
        <v>14.309749999999999</v>
      </c>
    </row>
    <row r="86" spans="1:24" x14ac:dyDescent="0.25">
      <c r="A86" t="s">
        <v>95</v>
      </c>
      <c r="B86">
        <f>_xll.BDP(A86&amp;" AB Equity","LAST_PRICE")</f>
        <v>93</v>
      </c>
      <c r="C86">
        <f>_xll.BDP(A86&amp;" AB Equity","LAST_PRICE")</f>
        <v>93</v>
      </c>
      <c r="D86">
        <f>_xll.BDP(A86&amp;" AB Equity","RT_PX_CHG_PCT_1D")</f>
        <v>-0.26809999346733093</v>
      </c>
      <c r="E86">
        <f>_xll.BDP(A86&amp;" AB Equity","CHG_PCT_1M_RT")</f>
        <v>-5.3434999999999997</v>
      </c>
      <c r="F86">
        <f>_xll.BDP(A86&amp;" AB Equity","CHG_PCT_YTD_RT")</f>
        <v>-2.1053000000000002</v>
      </c>
      <c r="G86">
        <f>_xll.BDP(A86&amp;" AB Equity","YEST_LAST_TRADE")</f>
        <v>93.25</v>
      </c>
      <c r="H86">
        <f>_xll.BDP(A86&amp;" AB Equity","HIGH_52WEEK")</f>
        <v>132.1</v>
      </c>
      <c r="I86">
        <f>_xll.BDP(A86&amp;" AB Equity","LOW_52WEEK")</f>
        <v>91</v>
      </c>
      <c r="J86">
        <f>_xll.BDP(A86&amp;" AB Equity","VOLUME")</f>
        <v>106856</v>
      </c>
      <c r="K86">
        <f>_xll.BDP(A86&amp;" AB Equity","OPEN")</f>
        <v>93.25</v>
      </c>
      <c r="L86">
        <f>_xll.BDP(A86&amp;" AB Equity","LOW")</f>
        <v>93</v>
      </c>
      <c r="M86">
        <f>_xll.BDP(A86&amp;" AB Equity","HIGH")</f>
        <v>93.6</v>
      </c>
      <c r="N86">
        <f>_xll.BDP(A86&amp;" AB Equity","VWAP")</f>
        <v>93.3262</v>
      </c>
      <c r="O86" t="str">
        <f>_xll.BDP(A86&amp;" AB Equity","SAUDI_ARABIA_EXCHANGE_ID")</f>
        <v>4164</v>
      </c>
      <c r="P86">
        <f>_xll.BDP(A86&amp;" AB Equity","VOLUME_AVG_30D")</f>
        <v>109929.7</v>
      </c>
      <c r="Q86">
        <f>_xll.BDP(A86&amp;" AB Equity","BID")</f>
        <v>93</v>
      </c>
      <c r="R86">
        <f>_xll.BDP(A86&amp;" AB Equity","ASK")</f>
        <v>93.4</v>
      </c>
      <c r="S86">
        <f>_xll.BDP(A86&amp;" AB Equity","CHG_PCT_MOV_AVG_200D")</f>
        <v>-9.7541770000000003</v>
      </c>
      <c r="T86">
        <f>_xll.BDP(A86&amp;" AB Equity","HIGH_30D")</f>
        <v>100.4</v>
      </c>
      <c r="U86">
        <f>_xll.BDP(A86&amp;" AB Equity","LOW_30D")</f>
        <v>93.15</v>
      </c>
      <c r="V86" s="11" t="str" cm="1">
        <f t="array" aca="1" ref="V86" ca="1">_xll.BDH(A86&amp;" AB Equity","MOV_AVG_200D",TODAY()-32,TODAY()-32,"Days=T")</f>
        <v>#N/A N/A</v>
      </c>
      <c r="W86">
        <v>13.5909</v>
      </c>
      <c r="X86">
        <f>IF(B86="","",_xlfn.SINGLE(_xll.BDP(A86&amp;" AB Equity","MOV_AVG_200D")))</f>
        <v>103.5505</v>
      </c>
    </row>
    <row r="87" spans="1:24" x14ac:dyDescent="0.25">
      <c r="A87" t="s">
        <v>96</v>
      </c>
      <c r="B87">
        <f>_xll.BDP(A87&amp;" AB Equity","LAST_PRICE")</f>
        <v>61.8</v>
      </c>
      <c r="C87">
        <f>_xll.BDP(A87&amp;" AB Equity","LAST_PRICE")</f>
        <v>61.8</v>
      </c>
      <c r="D87">
        <f>_xll.BDP(A87&amp;" AB Equity","RT_PX_CHG_PCT_1D")</f>
        <v>0.3246999979019165</v>
      </c>
      <c r="E87">
        <f>_xll.BDP(A87&amp;" AB Equity","CHG_PCT_1M_RT")</f>
        <v>-4.9962</v>
      </c>
      <c r="F87">
        <f>_xll.BDP(A87&amp;" AB Equity","CHG_PCT_YTD_RT")</f>
        <v>23.699000000000002</v>
      </c>
      <c r="G87">
        <f>_xll.BDP(A87&amp;" AB Equity","YEST_LAST_TRADE")</f>
        <v>61.6</v>
      </c>
      <c r="H87">
        <f>_xll.BDP(A87&amp;" AB Equity","HIGH_52WEEK")</f>
        <v>79.5</v>
      </c>
      <c r="I87">
        <f>_xll.BDP(A87&amp;" AB Equity","LOW_52WEEK")</f>
        <v>47</v>
      </c>
      <c r="J87">
        <f>_xll.BDP(A87&amp;" AB Equity","VOLUME")</f>
        <v>95934</v>
      </c>
      <c r="K87">
        <f>_xll.BDP(A87&amp;" AB Equity","OPEN")</f>
        <v>61.9</v>
      </c>
      <c r="L87">
        <f>_xll.BDP(A87&amp;" AB Equity","LOW")</f>
        <v>61.15</v>
      </c>
      <c r="M87">
        <f>_xll.BDP(A87&amp;" AB Equity","HIGH")</f>
        <v>62.05</v>
      </c>
      <c r="N87">
        <f>_xll.BDP(A87&amp;" AB Equity","VWAP")</f>
        <v>61.660699999999999</v>
      </c>
      <c r="O87" t="str">
        <f>_xll.BDP(A87&amp;" AB Equity","SAUDI_ARABIA_EXCHANGE_ID")</f>
        <v>4162</v>
      </c>
      <c r="P87">
        <f>_xll.BDP(A87&amp;" AB Equity","VOLUME_AVG_30D")</f>
        <v>187693.5</v>
      </c>
      <c r="Q87">
        <f>_xll.BDP(A87&amp;" AB Equity","BID")</f>
        <v>61.55</v>
      </c>
      <c r="R87">
        <f>_xll.BDP(A87&amp;" AB Equity","ASK")</f>
        <v>61.8</v>
      </c>
      <c r="S87">
        <f>_xll.BDP(A87&amp;" AB Equity","CHG_PCT_MOV_AVG_200D")</f>
        <v>11.201700000000001</v>
      </c>
      <c r="T87">
        <f>_xll.BDP(A87&amp;" AB Equity","HIGH_30D")</f>
        <v>67.150000000000006</v>
      </c>
      <c r="U87">
        <f>_xll.BDP(A87&amp;" AB Equity","LOW_30D")</f>
        <v>58.5</v>
      </c>
      <c r="V87" s="11" t="str" cm="1">
        <f t="array" aca="1" ref="V87" ca="1">_xll.BDH(A87&amp;" AB Equity","MOV_AVG_200D",TODAY()-32,TODAY()-32,"Days=T")</f>
        <v>#N/A N/A</v>
      </c>
      <c r="W87">
        <v>13.5692</v>
      </c>
      <c r="X87">
        <f>IF(B87="","",_xlfn.SINGLE(_xll.BDP(A87&amp;" AB Equity","MOV_AVG_200D")))</f>
        <v>55.439799999999998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12.22</v>
      </c>
      <c r="C89">
        <f>_xll.BDP(A89&amp;" AB Equity","LAST_PRICE")</f>
        <v>12.22</v>
      </c>
      <c r="D89">
        <f>_xll.BDP(A89&amp;" AB Equity","RT_PX_CHG_PCT_1D")</f>
        <v>0.6589999794960022</v>
      </c>
      <c r="E89">
        <f>_xll.BDP(A89&amp;" AB Equity","CHG_PCT_1M_RT")</f>
        <v>-19.072800000000001</v>
      </c>
      <c r="F89">
        <f>_xll.BDP(A89&amp;" AB Equity","CHG_PCT_YTD_RT")</f>
        <v>78.655000000000001</v>
      </c>
      <c r="G89">
        <f>_xll.BDP(A89&amp;" AB Equity","YEST_LAST_TRADE")</f>
        <v>12.14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3899578</v>
      </c>
      <c r="K89">
        <f>_xll.BDP(A89&amp;" AB Equity","OPEN")</f>
        <v>12.15</v>
      </c>
      <c r="L89">
        <f>_xll.BDP(A89&amp;" AB Equity","LOW")</f>
        <v>11.81</v>
      </c>
      <c r="M89">
        <f>_xll.BDP(A89&amp;" AB Equity","HIGH")</f>
        <v>12.22</v>
      </c>
      <c r="N89">
        <f>_xll.BDP(A89&amp;" AB Equity","VWAP")</f>
        <v>12.0223</v>
      </c>
      <c r="O89" t="str">
        <f>_xll.BDP(A89&amp;" AB Equity","SAUDI_ARABIA_EXCHANGE_ID")</f>
        <v>2380</v>
      </c>
      <c r="P89">
        <f>_xll.BDP(A89&amp;" AB Equity","VOLUME_AVG_30D")</f>
        <v>6537917</v>
      </c>
      <c r="Q89">
        <f>_xll.BDP(A89&amp;" AB Equity","BID")</f>
        <v>12.22</v>
      </c>
      <c r="R89">
        <f>_xll.BDP(A89&amp;" AB Equity","ASK")</f>
        <v>12.23</v>
      </c>
      <c r="S89">
        <f>_xll.BDP(A89&amp;" AB Equity","CHG_PCT_MOV_AVG_200D")</f>
        <v>29.070519999999998</v>
      </c>
      <c r="T89">
        <f>_xll.BDP(A89&amp;" AB Equity","HIGH_30D")</f>
        <v>16.399999999999999</v>
      </c>
      <c r="U89">
        <f>_xll.BDP(A89&amp;" AB Equity","LOW_30D")</f>
        <v>11.94</v>
      </c>
      <c r="V89" s="11" t="str" cm="1">
        <f t="array" aca="1" ref="V89" ca="1">_xll.BDH(A89&amp;" AB Equity","MOV_AVG_200D",TODAY()-32,TODAY()-32,"Days=T")</f>
        <v>#N/A N/A</v>
      </c>
      <c r="W89">
        <v>13.521599999999999</v>
      </c>
      <c r="X89">
        <f>IF(B89="","",_xlfn.SINGLE(_xll.BDP(A89&amp;" AB Equity","MOV_AVG_200D")))</f>
        <v>9.2739999999999991</v>
      </c>
    </row>
    <row r="90" spans="1:24" x14ac:dyDescent="0.25">
      <c r="A90" t="s">
        <v>99</v>
      </c>
      <c r="B90">
        <f>_xll.BDP(A90&amp;" AB Equity","LAST_PRICE")</f>
        <v>18.62</v>
      </c>
      <c r="C90">
        <f>_xll.BDP(A90&amp;" AB Equity","LAST_PRICE")</f>
        <v>18.62</v>
      </c>
      <c r="D90">
        <f>_xll.BDP(A90&amp;" AB Equity","RT_PX_CHG_PCT_1D")</f>
        <v>0.81209999322891235</v>
      </c>
      <c r="E90">
        <f>_xll.BDP(A90&amp;" AB Equity","CHG_PCT_1M_RT")</f>
        <v>-2.9702999999999999</v>
      </c>
      <c r="F90">
        <f>_xll.BDP(A90&amp;" AB Equity","CHG_PCT_YTD_RT")</f>
        <v>6.7660999999999998</v>
      </c>
      <c r="G90">
        <f>_xll.BDP(A90&amp;" AB Equity","YEST_LAST_TRADE")</f>
        <v>18.47</v>
      </c>
      <c r="H90">
        <f>_xll.BDP(A90&amp;" AB Equity","HIGH_52WEEK")</f>
        <v>19.940000000000001</v>
      </c>
      <c r="I90">
        <f>_xll.BDP(A90&amp;" AB Equity","LOW_52WEEK")</f>
        <v>12.42</v>
      </c>
      <c r="J90">
        <f>_xll.BDP(A90&amp;" AB Equity","VOLUME")</f>
        <v>1187222</v>
      </c>
      <c r="K90">
        <f>_xll.BDP(A90&amp;" AB Equity","OPEN")</f>
        <v>18.37</v>
      </c>
      <c r="L90">
        <f>_xll.BDP(A90&amp;" AB Equity","LOW")</f>
        <v>18.27</v>
      </c>
      <c r="M90">
        <f>_xll.BDP(A90&amp;" AB Equity","HIGH")</f>
        <v>18.809999999999999</v>
      </c>
      <c r="N90">
        <f>_xll.BDP(A90&amp;" AB Equity","VWAP")</f>
        <v>18.6402</v>
      </c>
      <c r="O90" t="str">
        <f>_xll.BDP(A90&amp;" AB Equity","SAUDI_ARABIA_EXCHANGE_ID")</f>
        <v>2382</v>
      </c>
      <c r="P90">
        <f>_xll.BDP(A90&amp;" AB Equity","VOLUME_AVG_30D")</f>
        <v>1682327</v>
      </c>
      <c r="Q90">
        <f>_xll.BDP(A90&amp;" AB Equity","BID")</f>
        <v>18.62</v>
      </c>
      <c r="R90">
        <f>_xll.BDP(A90&amp;" AB Equity","ASK")</f>
        <v>18.670000000000002</v>
      </c>
      <c r="S90">
        <f>_xll.BDP(A90&amp;" AB Equity","CHG_PCT_MOV_AVG_200D")</f>
        <v>7.2691569999999999</v>
      </c>
      <c r="T90">
        <f>_xll.BDP(A90&amp;" AB Equity","HIGH_30D")</f>
        <v>19.899999999999999</v>
      </c>
      <c r="U90">
        <f>_xll.BDP(A90&amp;" AB Equity","LOW_30D")</f>
        <v>18.09</v>
      </c>
      <c r="V90" s="11" t="str" cm="1">
        <f t="array" aca="1" ref="V90" ca="1">_xll.BDH(A90&amp;" AB Equity","MOV_AVG_200D",TODAY()-32,TODAY()-32,"Days=T")</f>
        <v>#N/A N/A</v>
      </c>
      <c r="W90">
        <v>109.4798</v>
      </c>
      <c r="X90">
        <f>IF(B90="","",_xlfn.SINGLE(_xll.BDP(A90&amp;" AB Equity","MOV_AVG_200D")))</f>
        <v>17.460750000000001</v>
      </c>
    </row>
    <row r="91" spans="1:24" x14ac:dyDescent="0.25">
      <c r="A91" t="s">
        <v>100</v>
      </c>
      <c r="B91">
        <f>_xll.BDP(A91&amp;" AB Equity","LAST_PRICE")</f>
        <v>90.55</v>
      </c>
      <c r="C91">
        <f>_xll.BDP(A91&amp;" AB Equity","LAST_PRICE")</f>
        <v>90.55</v>
      </c>
      <c r="D91">
        <f>_xll.BDP(A91&amp;" AB Equity","RT_PX_CHG_PCT_1D")</f>
        <v>-1.4154000282287598</v>
      </c>
      <c r="E91">
        <f>_xll.BDP(A91&amp;" AB Equity","CHG_PCT_1M_RT")</f>
        <v>1.9706999999999999</v>
      </c>
      <c r="F91">
        <f>_xll.BDP(A91&amp;" AB Equity","CHG_PCT_YTD_RT")</f>
        <v>-8.3038000000000007</v>
      </c>
      <c r="G91">
        <f>_xll.BDP(A91&amp;" AB Equity","YEST_LAST_TRADE")</f>
        <v>91.85</v>
      </c>
      <c r="H91">
        <f>_xll.BDP(A91&amp;" AB Equity","HIGH_52WEEK")</f>
        <v>107</v>
      </c>
      <c r="I91">
        <f>_xll.BDP(A91&amp;" AB Equity","LOW_52WEEK")</f>
        <v>72.150000000000006</v>
      </c>
      <c r="J91">
        <f>_xll.BDP(A91&amp;" AB Equity","VOLUME")</f>
        <v>129804</v>
      </c>
      <c r="K91">
        <f>_xll.BDP(A91&amp;" AB Equity","OPEN")</f>
        <v>90.8</v>
      </c>
      <c r="L91">
        <f>_xll.BDP(A91&amp;" AB Equity","LOW")</f>
        <v>90.15</v>
      </c>
      <c r="M91">
        <f>_xll.BDP(A91&amp;" AB Equity","HIGH")</f>
        <v>91.5</v>
      </c>
      <c r="N91">
        <f>_xll.BDP(A91&amp;" AB Equity","VWAP")</f>
        <v>90.575299999999999</v>
      </c>
      <c r="O91" t="str">
        <f>_xll.BDP(A91&amp;" AB Equity","SAUDI_ARABIA_EXCHANGE_ID")</f>
        <v>2381</v>
      </c>
      <c r="P91">
        <f>_xll.BDP(A91&amp;" AB Equity","VOLUME_AVG_30D")</f>
        <v>136601.70000000001</v>
      </c>
      <c r="Q91">
        <f>_xll.BDP(A91&amp;" AB Equity","BID")</f>
        <v>90.55</v>
      </c>
      <c r="R91">
        <f>_xll.BDP(A91&amp;" AB Equity","ASK")</f>
        <v>90.8</v>
      </c>
      <c r="S91">
        <f>_xll.BDP(A91&amp;" AB Equity","CHG_PCT_MOV_AVG_200D")</f>
        <v>2.0551870000000001</v>
      </c>
      <c r="T91">
        <f>_xll.BDP(A91&amp;" AB Equity","HIGH_30D")</f>
        <v>96.35</v>
      </c>
      <c r="U91">
        <f>_xll.BDP(A91&amp;" AB Equity","LOW_30D")</f>
        <v>85.6</v>
      </c>
      <c r="V91" s="11" t="str" cm="1">
        <f t="array" aca="1" ref="V91" ca="1">_xll.BDH(A91&amp;" AB Equity","MOV_AVG_200D",TODAY()-32,TODAY()-32,"Days=T")</f>
        <v>#N/A N/A</v>
      </c>
      <c r="W91">
        <v>109.3853</v>
      </c>
      <c r="X91">
        <f>IF(B91="","",_xlfn.SINGLE(_xll.BDP(A91&amp;" AB Equity","MOV_AVG_200D")))</f>
        <v>88.775499999999994</v>
      </c>
    </row>
    <row r="92" spans="1:24" x14ac:dyDescent="0.25">
      <c r="A92" t="s">
        <v>101</v>
      </c>
      <c r="B92">
        <f>_xll.BDP(A92&amp;" AB Equity","LAST_PRICE")</f>
        <v>26.12</v>
      </c>
      <c r="C92">
        <f>_xll.BDP(A92&amp;" AB Equity","LAST_PRICE")</f>
        <v>26.12</v>
      </c>
      <c r="D92">
        <f>_xll.BDP(A92&amp;" AB Equity","RT_PX_CHG_PCT_1D")</f>
        <v>0</v>
      </c>
      <c r="E92">
        <f>_xll.BDP(A92&amp;" AB Equity","CHG_PCT_1M_RT")</f>
        <v>-5.1561000000000003</v>
      </c>
      <c r="F92">
        <f>_xll.BDP(A92&amp;" AB Equity","CHG_PCT_YTD_RT")</f>
        <v>9.6097000000000001</v>
      </c>
      <c r="G92">
        <f>_xll.BDP(A92&amp;" AB Equity","YEST_LAST_TRADE")</f>
        <v>26.12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12132982</v>
      </c>
      <c r="K92">
        <f>_xll.BDP(A92&amp;" AB Equity","OPEN")</f>
        <v>26.1</v>
      </c>
      <c r="L92">
        <f>_xll.BDP(A92&amp;" AB Equity","LOW")</f>
        <v>25.9</v>
      </c>
      <c r="M92">
        <f>_xll.BDP(A92&amp;" AB Equity","HIGH")</f>
        <v>26.18</v>
      </c>
      <c r="N92">
        <f>_xll.BDP(A92&amp;" AB Equity","VWAP")</f>
        <v>26.076899999999998</v>
      </c>
      <c r="O92" t="str">
        <f>_xll.BDP(A92&amp;" AB Equity","SAUDI_ARABIA_EXCHANGE_ID")</f>
        <v>2222</v>
      </c>
      <c r="P92">
        <f>_xll.BDP(A92&amp;" AB Equity","VOLUME_AVG_30D")</f>
        <v>13807940</v>
      </c>
      <c r="Q92">
        <f>_xll.BDP(A92&amp;" AB Equity","BID")</f>
        <v>26.12</v>
      </c>
      <c r="R92">
        <f>_xll.BDP(A92&amp;" AB Equity","ASK")</f>
        <v>26.14</v>
      </c>
      <c r="S92">
        <f>_xll.BDP(A92&amp;" AB Equity","CHG_PCT_MOV_AVG_200D")</f>
        <v>1.505055</v>
      </c>
      <c r="T92">
        <f>_xll.BDP(A92&amp;" AB Equity","HIGH_30D")</f>
        <v>27.96</v>
      </c>
      <c r="U92">
        <f>_xll.BDP(A92&amp;" AB Equity","LOW_30D")</f>
        <v>26.12</v>
      </c>
      <c r="V92" s="11" t="str" cm="1">
        <f t="array" aca="1" ref="V92" ca="1">_xll.BDH(A92&amp;" AB Equity","MOV_AVG_200D",TODAY()-32,TODAY()-32,"Days=T")</f>
        <v>#N/A N/A</v>
      </c>
      <c r="W92">
        <v>57.069800000000001</v>
      </c>
      <c r="X92">
        <f>IF(B92="","",_xlfn.SINGLE(_xll.BDP(A92&amp;" AB Equity","MOV_AVG_200D")))</f>
        <v>25.713010000000001</v>
      </c>
    </row>
    <row r="93" spans="1:24" x14ac:dyDescent="0.25">
      <c r="A93" t="s">
        <v>102</v>
      </c>
      <c r="B93">
        <f>_xll.BDP(A93&amp;" AB Equity","LAST_PRICE")</f>
        <v>54.2</v>
      </c>
      <c r="C93">
        <f>_xll.BDP(A93&amp;" AB Equity","LAST_PRICE")</f>
        <v>54.2</v>
      </c>
      <c r="D93">
        <f>_xll.BDP(A93&amp;" AB Equity","RT_PX_CHG_PCT_1D")</f>
        <v>6.1704001426696777</v>
      </c>
      <c r="E93">
        <f>_xll.BDP(A93&amp;" AB Equity","CHG_PCT_1M_RT")</f>
        <v>20.982099999999999</v>
      </c>
      <c r="F93">
        <f>_xll.BDP(A93&amp;" AB Equity","CHG_PCT_YTD_RT")</f>
        <v>6.5880000000000001</v>
      </c>
      <c r="G93">
        <f>_xll.BDP(A93&amp;" AB Equity","YEST_LAST_TRADE")</f>
        <v>51.05</v>
      </c>
      <c r="H93">
        <f>_xll.BDP(A93&amp;" AB Equity","HIGH_52WEEK")</f>
        <v>65.8</v>
      </c>
      <c r="I93">
        <f>_xll.BDP(A93&amp;" AB Equity","LOW_52WEEK")</f>
        <v>43.68</v>
      </c>
      <c r="J93">
        <f>_xll.BDP(A93&amp;" AB Equity","VOLUME")</f>
        <v>2071029</v>
      </c>
      <c r="K93">
        <f>_xll.BDP(A93&amp;" AB Equity","OPEN")</f>
        <v>52</v>
      </c>
      <c r="L93">
        <f>_xll.BDP(A93&amp;" AB Equity","LOW")</f>
        <v>51.9</v>
      </c>
      <c r="M93">
        <f>_xll.BDP(A93&amp;" AB Equity","HIGH")</f>
        <v>55.7</v>
      </c>
      <c r="N93">
        <f>_xll.BDP(A93&amp;" AB Equity","VWAP")</f>
        <v>53.938200000000002</v>
      </c>
      <c r="O93" t="str">
        <f>_xll.BDP(A93&amp;" AB Equity","SAUDI_ARABIA_EXCHANGE_ID")</f>
        <v>2030</v>
      </c>
      <c r="P93">
        <f>_xll.BDP(A93&amp;" AB Equity","VOLUME_AVG_30D")</f>
        <v>186873</v>
      </c>
      <c r="Q93">
        <f>_xll.BDP(A93&amp;" AB Equity","BID")</f>
        <v>54</v>
      </c>
      <c r="R93">
        <f>_xll.BDP(A93&amp;" AB Equity","ASK")</f>
        <v>54.2</v>
      </c>
      <c r="S93">
        <f>_xll.BDP(A93&amp;" AB Equity","CHG_PCT_MOV_AVG_200D")</f>
        <v>3.8329430000000002</v>
      </c>
      <c r="T93">
        <f>_xll.BDP(A93&amp;" AB Equity","HIGH_30D")</f>
        <v>51.05</v>
      </c>
      <c r="U93">
        <f>_xll.BDP(A93&amp;" AB Equity","LOW_30D")</f>
        <v>43.68</v>
      </c>
      <c r="V93" s="11" t="str" cm="1">
        <f t="array" aca="1" ref="V93" ca="1">_xll.BDH(A93&amp;" AB Equity","MOV_AVG_200D",TODAY()-32,TODAY()-32,"Days=T")</f>
        <v>#N/A N/A</v>
      </c>
      <c r="W93">
        <v>24.914400000000001</v>
      </c>
      <c r="X93">
        <f>IF(B93="","",_xlfn.SINGLE(_xll.BDP(A93&amp;" AB Equity","MOV_AVG_200D")))</f>
        <v>51.814</v>
      </c>
    </row>
    <row r="94" spans="1:24" x14ac:dyDescent="0.25">
      <c r="A94" t="s">
        <v>103</v>
      </c>
      <c r="B94">
        <f>_xll.BDP(A94&amp;" AB Equity","LAST_PRICE")</f>
        <v>31.9</v>
      </c>
      <c r="C94">
        <f>_xll.BDP(A94&amp;" AB Equity","LAST_PRICE")</f>
        <v>31.9</v>
      </c>
      <c r="D94">
        <f>_xll.BDP(A94&amp;" AB Equity","RT_PX_CHG_PCT_1D")</f>
        <v>0</v>
      </c>
      <c r="E94">
        <f>_xll.BDP(A94&amp;" AB Equity","CHG_PCT_1M_RT")</f>
        <v>-5.6212999999999997</v>
      </c>
      <c r="F94">
        <f>_xll.BDP(A94&amp;" AB Equity","CHG_PCT_YTD_RT")</f>
        <v>10.075900000000001</v>
      </c>
      <c r="G94">
        <f>_xll.BDP(A94&amp;" AB Equity","YEST_LAST_TRADE")</f>
        <v>31.9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1176100</v>
      </c>
      <c r="K94">
        <f>_xll.BDP(A94&amp;" AB Equity","OPEN")</f>
        <v>31.9</v>
      </c>
      <c r="L94">
        <f>_xll.BDP(A94&amp;" AB Equity","LOW")</f>
        <v>31.74</v>
      </c>
      <c r="M94">
        <f>_xll.BDP(A94&amp;" AB Equity","HIGH")</f>
        <v>32.06</v>
      </c>
      <c r="N94">
        <f>_xll.BDP(A94&amp;" AB Equity","VWAP")</f>
        <v>31.907599999999999</v>
      </c>
      <c r="O94" t="str">
        <f>_xll.BDP(A94&amp;" AB Equity","SAUDI_ARABIA_EXCHANGE_ID")</f>
        <v>4030</v>
      </c>
      <c r="P94">
        <f>_xll.BDP(A94&amp;" AB Equity","VOLUME_AVG_30D")</f>
        <v>1196111</v>
      </c>
      <c r="Q94">
        <f>_xll.BDP(A94&amp;" AB Equity","BID")</f>
        <v>31.82</v>
      </c>
      <c r="R94">
        <f>_xll.BDP(A94&amp;" AB Equity","ASK")</f>
        <v>31.9</v>
      </c>
      <c r="S94">
        <f>_xll.BDP(A94&amp;" AB Equity","CHG_PCT_MOV_AVG_200D")</f>
        <v>3.9573109999999998</v>
      </c>
      <c r="T94">
        <f>_xll.BDP(A94&amp;" AB Equity","HIGH_30D")</f>
        <v>35.04</v>
      </c>
      <c r="U94">
        <f>_xll.BDP(A94&amp;" AB Equity","LOW_30D")</f>
        <v>31.58</v>
      </c>
      <c r="V94" s="11" t="str" cm="1">
        <f t="array" aca="1" ref="V94" ca="1">_xll.BDH(A94&amp;" AB Equity","MOV_AVG_200D",TODAY()-32,TODAY()-32,"Days=T")</f>
        <v>#N/A N/A</v>
      </c>
      <c r="W94">
        <v>24.928599999999999</v>
      </c>
      <c r="X94">
        <f>IF(B94="","",_xlfn.SINGLE(_xll.BDP(A94&amp;" AB Equity","MOV_AVG_200D")))</f>
        <v>30.724150000000002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4.82</v>
      </c>
      <c r="C96">
        <f>_xll.BDP(A96&amp;" AB Equity","LAST_PRICE")</f>
        <v>4.82</v>
      </c>
      <c r="D96">
        <f>_xll.BDP(A96&amp;" AB Equity","RT_PX_CHG_PCT_1D")</f>
        <v>-1.2295000553131104</v>
      </c>
      <c r="E96">
        <f>_xll.BDP(A96&amp;" AB Equity","CHG_PCT_1M_RT")</f>
        <v>-2.0325000000000002</v>
      </c>
      <c r="F96">
        <f>_xll.BDP(A96&amp;" AB Equity","CHG_PCT_YTD_RT")</f>
        <v>5.2401999999999997</v>
      </c>
      <c r="G96">
        <f>_xll.BDP(A96&amp;" AB Equity","YEST_LAST_TRADE")</f>
        <v>4.88</v>
      </c>
      <c r="H96">
        <f>_xll.BDP(A96&amp;" AB Equity","HIGH_52WEEK")</f>
        <v>4.97</v>
      </c>
      <c r="I96">
        <f>_xll.BDP(A96&amp;" AB Equity","LOW_52WEEK")</f>
        <v>4.32</v>
      </c>
      <c r="J96">
        <f>_xll.BDP(A96&amp;" AB Equity","VOLUME")</f>
        <v>180987</v>
      </c>
      <c r="K96">
        <f>_xll.BDP(A96&amp;" AB Equity","OPEN")</f>
        <v>4.87</v>
      </c>
      <c r="L96">
        <f>_xll.BDP(A96&amp;" AB Equity","LOW")</f>
        <v>4.82</v>
      </c>
      <c r="M96">
        <f>_xll.BDP(A96&amp;" AB Equity","HIGH")</f>
        <v>4.9000000000000004</v>
      </c>
      <c r="N96">
        <f>_xll.BDP(A96&amp;" AB Equity","VWAP")</f>
        <v>4.8457999999999997</v>
      </c>
      <c r="O96" t="str">
        <f>_xll.BDP(A96&amp;" AB Equity","SAUDI_ARABIA_EXCHANGE_ID")</f>
        <v>4345</v>
      </c>
      <c r="P96">
        <f>_xll.BDP(A96&amp;" AB Equity","VOLUME_AVG_30D")</f>
        <v>316165.40000000002</v>
      </c>
      <c r="Q96">
        <f>_xll.BDP(A96&amp;" AB Equity","BID")</f>
        <v>4.82</v>
      </c>
      <c r="R96">
        <f>_xll.BDP(A96&amp;" AB Equity","ASK")</f>
        <v>4.87</v>
      </c>
      <c r="S96">
        <f>_xll.BDP(A96&amp;" AB Equity","CHG_PCT_MOV_AVG_200D")</f>
        <v>5.9758630000000004</v>
      </c>
      <c r="T96">
        <f>_xll.BDP(A96&amp;" AB Equity","HIGH_30D")</f>
        <v>4.97</v>
      </c>
      <c r="U96">
        <f>_xll.BDP(A96&amp;" AB Equity","LOW_30D")</f>
        <v>4.5</v>
      </c>
      <c r="V96" s="11" t="str" cm="1">
        <f t="array" aca="1" ref="V96" ca="1">_xll.BDH(A96&amp;" AB Equity","MOV_AVG_200D",TODAY()-32,TODAY()-32,"Days=T")</f>
        <v>#N/A N/A</v>
      </c>
      <c r="W96">
        <v>4.5408999999999997</v>
      </c>
      <c r="X96">
        <f>IF(B96="","",_xlfn.SINGLE(_xll.BDP(A96&amp;" AB Equity","MOV_AVG_200D")))</f>
        <v>4.5859500000000004</v>
      </c>
    </row>
    <row r="97" spans="1:24" x14ac:dyDescent="0.25">
      <c r="A97" t="s">
        <v>106</v>
      </c>
      <c r="B97">
        <f>_xll.BDP(A97&amp;" AB Equity","LAST_PRICE")</f>
        <v>8.2799999999999994</v>
      </c>
      <c r="C97">
        <f>_xll.BDP(A97&amp;" AB Equity","LAST_PRICE")</f>
        <v>8.2799999999999994</v>
      </c>
      <c r="D97">
        <f>_xll.BDP(A97&amp;" AB Equity","RT_PX_CHG_PCT_1D")</f>
        <v>0.120899997651577</v>
      </c>
      <c r="E97">
        <f>_xll.BDP(A97&amp;" AB Equity","CHG_PCT_1M_RT")</f>
        <v>0.60750000000000004</v>
      </c>
      <c r="F97">
        <f>_xll.BDP(A97&amp;" AB Equity","CHG_PCT_YTD_RT")</f>
        <v>-0.24099999999999999</v>
      </c>
      <c r="G97">
        <f>_xll.BDP(A97&amp;" AB Equity","YEST_LAST_TRADE")</f>
        <v>8.27</v>
      </c>
      <c r="H97">
        <f>_xll.BDP(A97&amp;" AB Equity","HIGH_52WEEK")</f>
        <v>8.4700000000000006</v>
      </c>
      <c r="I97">
        <f>_xll.BDP(A97&amp;" AB Equity","LOW_52WEEK")</f>
        <v>7.9</v>
      </c>
      <c r="J97">
        <f>_xll.BDP(A97&amp;" AB Equity","VOLUME")</f>
        <v>214968</v>
      </c>
      <c r="K97">
        <f>_xll.BDP(A97&amp;" AB Equity","OPEN")</f>
        <v>8.26</v>
      </c>
      <c r="L97">
        <f>_xll.BDP(A97&amp;" AB Equity","LOW")</f>
        <v>8.26</v>
      </c>
      <c r="M97">
        <f>_xll.BDP(A97&amp;" AB Equity","HIGH")</f>
        <v>8.32</v>
      </c>
      <c r="N97">
        <f>_xll.BDP(A97&amp;" AB Equity","VWAP")</f>
        <v>8.2858000000000001</v>
      </c>
      <c r="O97" t="str">
        <f>_xll.BDP(A97&amp;" AB Equity","SAUDI_ARABIA_EXCHANGE_ID")</f>
        <v>4349</v>
      </c>
      <c r="P97">
        <f>_xll.BDP(A97&amp;" AB Equity","VOLUME_AVG_30D")</f>
        <v>192469.7</v>
      </c>
      <c r="Q97">
        <f>_xll.BDP(A97&amp;" AB Equity","BID")</f>
        <v>8.2799999999999994</v>
      </c>
      <c r="R97">
        <f>_xll.BDP(A97&amp;" AB Equity","ASK")</f>
        <v>8.33</v>
      </c>
      <c r="S97">
        <f>_xll.BDP(A97&amp;" AB Equity","CHG_PCT_MOV_AVG_200D")</f>
        <v>1.623149</v>
      </c>
      <c r="T97">
        <f>_xll.BDP(A97&amp;" AB Equity","HIGH_30D")</f>
        <v>8.42</v>
      </c>
      <c r="U97">
        <f>_xll.BDP(A97&amp;" AB Equity","LOW_30D")</f>
        <v>8.15</v>
      </c>
      <c r="V97" s="11" t="str" cm="1">
        <f t="array" aca="1" ref="V97" ca="1">_xll.BDH(A97&amp;" AB Equity","MOV_AVG_200D",TODAY()-32,TODAY()-32,"Days=T")</f>
        <v>#N/A N/A</v>
      </c>
      <c r="W97">
        <v>4.5416999999999996</v>
      </c>
      <c r="X97">
        <f>IF(B97="","",_xlfn.SINGLE(_xll.BDP(A97&amp;" AB Equity","MOV_AVG_200D")))</f>
        <v>8.1477500000000003</v>
      </c>
    </row>
    <row r="98" spans="1:24" x14ac:dyDescent="0.25">
      <c r="A98" t="s">
        <v>107</v>
      </c>
      <c r="B98">
        <f>_xll.BDP(A98&amp;" AB Equity","LAST_PRICE")</f>
        <v>8.19</v>
      </c>
      <c r="C98">
        <f>_xll.BDP(A98&amp;" AB Equity","LAST_PRICE")</f>
        <v>8.19</v>
      </c>
      <c r="D98">
        <f>_xll.BDP(A98&amp;" AB Equity","RT_PX_CHG_PCT_1D")</f>
        <v>0</v>
      </c>
      <c r="E98">
        <f>_xll.BDP(A98&amp;" AB Equity","CHG_PCT_1M_RT")</f>
        <v>-0.72729999999999995</v>
      </c>
      <c r="F98">
        <f>_xll.BDP(A98&amp;" AB Equity","CHG_PCT_YTD_RT")</f>
        <v>3.9340000000000002</v>
      </c>
      <c r="G98">
        <f>_xll.BDP(A98&amp;" AB Equity","YEST_LAST_TRADE")</f>
        <v>8.19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64930</v>
      </c>
      <c r="K98">
        <f>_xll.BDP(A98&amp;" AB Equity","OPEN")</f>
        <v>8.19</v>
      </c>
      <c r="L98">
        <f>_xll.BDP(A98&amp;" AB Equity","LOW")</f>
        <v>8.18</v>
      </c>
      <c r="M98">
        <f>_xll.BDP(A98&amp;" AB Equity","HIGH")</f>
        <v>8.2100000000000009</v>
      </c>
      <c r="N98">
        <f>_xll.BDP(A98&amp;" AB Equity","VWAP")</f>
        <v>8.1920000000000002</v>
      </c>
      <c r="O98" t="str">
        <f>_xll.BDP(A98&amp;" AB Equity","SAUDI_ARABIA_EXCHANGE_ID")</f>
        <v>4340</v>
      </c>
      <c r="P98">
        <f>_xll.BDP(A98&amp;" AB Equity","VOLUME_AVG_30D")</f>
        <v>161386.1</v>
      </c>
      <c r="Q98">
        <f>_xll.BDP(A98&amp;" AB Equity","BID")</f>
        <v>8.19</v>
      </c>
      <c r="R98">
        <f>_xll.BDP(A98&amp;" AB Equity","ASK")</f>
        <v>8.1999999999999993</v>
      </c>
      <c r="S98">
        <f>_xll.BDP(A98&amp;" AB Equity","CHG_PCT_MOV_AVG_200D")</f>
        <v>0.58017070000000004</v>
      </c>
      <c r="T98">
        <f>_xll.BDP(A98&amp;" AB Equity","HIGH_30D")</f>
        <v>8.3800000000000008</v>
      </c>
      <c r="U98">
        <f>_xll.BDP(A98&amp;" AB Equity","LOW_30D")</f>
        <v>8.18</v>
      </c>
      <c r="V98" s="11" t="str" cm="1">
        <f t="array" aca="1" ref="V98" ca="1">_xll.BDH(A98&amp;" AB Equity","MOV_AVG_200D",TODAY()-32,TODAY()-32,"Days=T")</f>
        <v>#N/A N/A</v>
      </c>
      <c r="W98">
        <v>4.5419999999999998</v>
      </c>
      <c r="X98">
        <f>IF(B98="","",_xlfn.SINGLE(_xll.BDP(A98&amp;" AB Equity","MOV_AVG_200D")))</f>
        <v>8.1526999999999994</v>
      </c>
    </row>
    <row r="99" spans="1:24" x14ac:dyDescent="0.25">
      <c r="A99" t="s">
        <v>108</v>
      </c>
      <c r="B99">
        <f>_xll.BDP(A99&amp;" AB Equity","LAST_PRICE")</f>
        <v>7.84</v>
      </c>
      <c r="C99">
        <f>_xll.BDP(A99&amp;" AB Equity","LAST_PRICE")</f>
        <v>7.84</v>
      </c>
      <c r="D99">
        <f>_xll.BDP(A99&amp;" AB Equity","RT_PX_CHG_PCT_1D")</f>
        <v>-1.5075000524520874</v>
      </c>
      <c r="E99">
        <f>_xll.BDP(A99&amp;" AB Equity","CHG_PCT_1M_RT")</f>
        <v>0.64180000000000004</v>
      </c>
      <c r="F99">
        <f>_xll.BDP(A99&amp;" AB Equity","CHG_PCT_YTD_RT")</f>
        <v>17.014900000000001</v>
      </c>
      <c r="G99">
        <f>_xll.BDP(A99&amp;" AB Equity","YEST_LAST_TRADE")</f>
        <v>7.96</v>
      </c>
      <c r="H99">
        <f>_xll.BDP(A99&amp;" AB Equity","HIGH_52WEEK")</f>
        <v>8.1</v>
      </c>
      <c r="I99">
        <f>_xll.BDP(A99&amp;" AB Equity","LOW_52WEEK")</f>
        <v>6.14</v>
      </c>
      <c r="J99">
        <f>_xll.BDP(A99&amp;" AB Equity","VOLUME")</f>
        <v>149297</v>
      </c>
      <c r="K99">
        <f>_xll.BDP(A99&amp;" AB Equity","OPEN")</f>
        <v>7.96</v>
      </c>
      <c r="L99">
        <f>_xll.BDP(A99&amp;" AB Equity","LOW")</f>
        <v>7.84</v>
      </c>
      <c r="M99">
        <f>_xll.BDP(A99&amp;" AB Equity","HIGH")</f>
        <v>8</v>
      </c>
      <c r="N99">
        <f>_xll.BDP(A99&amp;" AB Equity","VWAP")</f>
        <v>7.9234</v>
      </c>
      <c r="O99" t="str">
        <f>_xll.BDP(A99&amp;" AB Equity","SAUDI_ARABIA_EXCHANGE_ID")</f>
        <v>4344</v>
      </c>
      <c r="P99">
        <f>_xll.BDP(A99&amp;" AB Equity","VOLUME_AVG_30D")</f>
        <v>191915.6</v>
      </c>
      <c r="Q99">
        <f>_xll.BDP(A99&amp;" AB Equity","BID")</f>
        <v>7.84</v>
      </c>
      <c r="R99">
        <f>_xll.BDP(A99&amp;" AB Equity","ASK")</f>
        <v>7.86</v>
      </c>
      <c r="S99">
        <f>_xll.BDP(A99&amp;" AB Equity","CHG_PCT_MOV_AVG_200D")</f>
        <v>11.103300000000001</v>
      </c>
      <c r="T99">
        <f>_xll.BDP(A99&amp;" AB Equity","HIGH_30D")</f>
        <v>8.1</v>
      </c>
      <c r="U99">
        <f>_xll.BDP(A99&amp;" AB Equity","LOW_30D")</f>
        <v>7.51</v>
      </c>
      <c r="V99" s="11" t="str" cm="1">
        <f t="array" aca="1" ref="V99" ca="1">_xll.BDH(A99&amp;" AB Equity","MOV_AVG_200D",TODAY()-32,TODAY()-32,"Days=T")</f>
        <v>#N/A N/A</v>
      </c>
      <c r="W99">
        <v>4.5420999999999996</v>
      </c>
      <c r="X99">
        <f>IF(B99="","",_xlfn.SINGLE(_xll.BDP(A99&amp;" AB Equity","MOV_AVG_200D")))</f>
        <v>7.1105</v>
      </c>
    </row>
    <row r="100" spans="1:24" x14ac:dyDescent="0.25">
      <c r="A100" t="s">
        <v>109</v>
      </c>
      <c r="B100">
        <f>_xll.BDP(A100&amp;" AB Equity","LAST_PRICE")</f>
        <v>4.62</v>
      </c>
      <c r="C100">
        <f>_xll.BDP(A100&amp;" AB Equity","LAST_PRICE")</f>
        <v>4.62</v>
      </c>
      <c r="D100">
        <f>_xll.BDP(A100&amp;" AB Equity","RT_PX_CHG_PCT_1D")</f>
        <v>0</v>
      </c>
      <c r="E100">
        <f>_xll.BDP(A100&amp;" AB Equity","CHG_PCT_1M_RT")</f>
        <v>-0.6452</v>
      </c>
      <c r="F100">
        <f>_xll.BDP(A100&amp;" AB Equity","CHG_PCT_YTD_RT")</f>
        <v>0</v>
      </c>
      <c r="G100">
        <f>_xll.BDP(A100&amp;" AB Equity","YEST_LAST_TRADE")</f>
        <v>4.62</v>
      </c>
      <c r="H100">
        <f>_xll.BDP(A100&amp;" AB Equity","HIGH_52WEEK")</f>
        <v>4.95</v>
      </c>
      <c r="I100">
        <f>_xll.BDP(A100&amp;" AB Equity","LOW_52WEEK")</f>
        <v>4.3</v>
      </c>
      <c r="J100">
        <f>_xll.BDP(A100&amp;" AB Equity","VOLUME")</f>
        <v>34191</v>
      </c>
      <c r="K100">
        <f>_xll.BDP(A100&amp;" AB Equity","OPEN")</f>
        <v>4.62</v>
      </c>
      <c r="L100">
        <f>_xll.BDP(A100&amp;" AB Equity","LOW")</f>
        <v>4.5999999999999996</v>
      </c>
      <c r="M100">
        <f>_xll.BDP(A100&amp;" AB Equity","HIGH")</f>
        <v>4.62</v>
      </c>
      <c r="N100">
        <f>_xll.BDP(A100&amp;" AB Equity","VWAP")</f>
        <v>4.6138000000000003</v>
      </c>
      <c r="O100" t="str">
        <f>_xll.BDP(A100&amp;" AB Equity","SAUDI_ARABIA_EXCHANGE_ID")</f>
        <v>4336</v>
      </c>
      <c r="P100">
        <f>_xll.BDP(A100&amp;" AB Equity","VOLUME_AVG_30D")</f>
        <v>57813.67</v>
      </c>
      <c r="Q100">
        <f>_xll.BDP(A100&amp;" AB Equity","BID")</f>
        <v>4.6100000000000003</v>
      </c>
      <c r="R100">
        <f>_xll.BDP(A100&amp;" AB Equity","ASK")</f>
        <v>4.62</v>
      </c>
      <c r="S100">
        <f>_xll.BDP(A100&amp;" AB Equity","CHG_PCT_MOV_AVG_200D")</f>
        <v>-0.54785039999999996</v>
      </c>
      <c r="T100">
        <f>_xll.BDP(A100&amp;" AB Equity","HIGH_30D")</f>
        <v>4.67</v>
      </c>
      <c r="U100">
        <f>_xll.BDP(A100&amp;" AB Equity","LOW_30D")</f>
        <v>4.5</v>
      </c>
      <c r="V100" s="11" t="str" cm="1">
        <f t="array" aca="1" ref="V100" ca="1">_xll.BDH(A100&amp;" AB Equity","MOV_AVG_200D",TODAY()-32,TODAY()-32,"Days=T")</f>
        <v>#N/A N/A</v>
      </c>
      <c r="W100">
        <v>4.5423</v>
      </c>
      <c r="X100">
        <f>IF(B100="","",_xlfn.SINGLE(_xll.BDP(A100&amp;" AB Equity","MOV_AVG_200D")))</f>
        <v>4.6454500000000003</v>
      </c>
    </row>
    <row r="101" spans="1:24" x14ac:dyDescent="0.25">
      <c r="A101" t="s">
        <v>110</v>
      </c>
      <c r="B101">
        <f>_xll.BDP(A101&amp;" AB Equity","LAST_PRICE")</f>
        <v>4.97</v>
      </c>
      <c r="C101">
        <f>_xll.BDP(A101&amp;" AB Equity","LAST_PRICE")</f>
        <v>4.97</v>
      </c>
      <c r="D101">
        <f>_xll.BDP(A101&amp;" AB Equity","RT_PX_CHG_PCT_1D")</f>
        <v>0</v>
      </c>
      <c r="E101">
        <f>_xll.BDP(A101&amp;" AB Equity","CHG_PCT_1M_RT")</f>
        <v>1.0163</v>
      </c>
      <c r="F101">
        <f>_xll.BDP(A101&amp;" AB Equity","CHG_PCT_YTD_RT")</f>
        <v>0.40400000000000003</v>
      </c>
      <c r="G101">
        <f>_xll.BDP(A101&amp;" AB Equity","YEST_LAST_TRADE")</f>
        <v>4.97</v>
      </c>
      <c r="H101">
        <f>_xll.BDP(A101&amp;" AB Equity","HIGH_52WEEK")</f>
        <v>5.87</v>
      </c>
      <c r="I101">
        <f>_xll.BDP(A101&amp;" AB Equity","LOW_52WEEK")</f>
        <v>4.75</v>
      </c>
      <c r="J101">
        <f>_xll.BDP(A101&amp;" AB Equity","VOLUME")</f>
        <v>13827</v>
      </c>
      <c r="K101">
        <f>_xll.BDP(A101&amp;" AB Equity","OPEN")</f>
        <v>5</v>
      </c>
      <c r="L101">
        <f>_xll.BDP(A101&amp;" AB Equity","LOW")</f>
        <v>4.96</v>
      </c>
      <c r="M101">
        <f>_xll.BDP(A101&amp;" AB Equity","HIGH")</f>
        <v>5</v>
      </c>
      <c r="N101">
        <f>_xll.BDP(A101&amp;" AB Equity","VWAP")</f>
        <v>4.9843999999999999</v>
      </c>
      <c r="O101" t="str">
        <f>_xll.BDP(A101&amp;" AB Equity","SAUDI_ARABIA_EXCHANGE_ID")</f>
        <v>4332</v>
      </c>
      <c r="P101">
        <f>_xll.BDP(A101&amp;" AB Equity","VOLUME_AVG_30D")</f>
        <v>41235.040000000001</v>
      </c>
      <c r="Q101">
        <f>_xll.BDP(A101&amp;" AB Equity","BID")</f>
        <v>4.97</v>
      </c>
      <c r="R101">
        <f>_xll.BDP(A101&amp;" AB Equity","ASK")</f>
        <v>4.99</v>
      </c>
      <c r="S101">
        <f>_xll.BDP(A101&amp;" AB Equity","CHG_PCT_MOV_AVG_200D")</f>
        <v>0.1123546</v>
      </c>
      <c r="T101">
        <f>_xll.BDP(A101&amp;" AB Equity","HIGH_30D")</f>
        <v>5.0599999999999996</v>
      </c>
      <c r="U101">
        <f>_xll.BDP(A101&amp;" AB Equity","LOW_30D")</f>
        <v>4.8</v>
      </c>
      <c r="V101" s="11" t="str" cm="1">
        <f t="array" aca="1" ref="V101" ca="1">_xll.BDH(A101&amp;" AB Equity","MOV_AVG_200D",TODAY()-32,TODAY()-32,"Days=T")</f>
        <v>#N/A N/A</v>
      </c>
      <c r="W101">
        <v>4.5420999999999996</v>
      </c>
      <c r="X101">
        <f>IF(B101="","",_xlfn.SINGLE(_xll.BDP(A101&amp;" AB Equity","MOV_AVG_200D")))</f>
        <v>4.9843999999999999</v>
      </c>
    </row>
    <row r="102" spans="1:24" x14ac:dyDescent="0.25">
      <c r="A102" t="s">
        <v>111</v>
      </c>
      <c r="B102">
        <f>_xll.BDP(A102&amp;" AB Equity","LAST_PRICE")</f>
        <v>10.94</v>
      </c>
      <c r="C102">
        <f>_xll.BDP(A102&amp;" AB Equity","LAST_PRICE")</f>
        <v>10.94</v>
      </c>
      <c r="D102">
        <f>_xll.BDP(A102&amp;" AB Equity","RT_PX_CHG_PCT_1D")</f>
        <v>1.3902000188827515</v>
      </c>
      <c r="E102">
        <f>_xll.BDP(A102&amp;" AB Equity","CHG_PCT_1M_RT")</f>
        <v>-0.81599999999999995</v>
      </c>
      <c r="F102">
        <f>_xll.BDP(A102&amp;" AB Equity","CHG_PCT_YTD_RT")</f>
        <v>-4.9522000000000004</v>
      </c>
      <c r="G102">
        <f>_xll.BDP(A102&amp;" AB Equity","YEST_LAST_TRADE")</f>
        <v>10.79</v>
      </c>
      <c r="H102">
        <f>_xll.BDP(A102&amp;" AB Equity","HIGH_52WEEK")</f>
        <v>14.5</v>
      </c>
      <c r="I102">
        <f>_xll.BDP(A102&amp;" AB Equity","LOW_52WEEK")</f>
        <v>9.92</v>
      </c>
      <c r="J102">
        <f>_xll.BDP(A102&amp;" AB Equity","VOLUME")</f>
        <v>35338</v>
      </c>
      <c r="K102">
        <f>_xll.BDP(A102&amp;" AB Equity","OPEN")</f>
        <v>10.86</v>
      </c>
      <c r="L102">
        <f>_xll.BDP(A102&amp;" AB Equity","LOW")</f>
        <v>10.77</v>
      </c>
      <c r="M102">
        <f>_xll.BDP(A102&amp;" AB Equity","HIGH")</f>
        <v>10.96</v>
      </c>
      <c r="N102">
        <f>_xll.BDP(A102&amp;" AB Equity","VWAP")</f>
        <v>10.8492</v>
      </c>
      <c r="O102" t="str">
        <f>_xll.BDP(A102&amp;" AB Equity","SAUDI_ARABIA_EXCHANGE_ID")</f>
        <v>4331</v>
      </c>
      <c r="P102">
        <f>_xll.BDP(A102&amp;" AB Equity","VOLUME_AVG_30D")</f>
        <v>21702.63</v>
      </c>
      <c r="Q102">
        <f>_xll.BDP(A102&amp;" AB Equity","BID")</f>
        <v>10.93</v>
      </c>
      <c r="R102">
        <f>_xll.BDP(A102&amp;" AB Equity","ASK")</f>
        <v>10.94</v>
      </c>
      <c r="S102">
        <f>_xll.BDP(A102&amp;" AB Equity","CHG_PCT_MOV_AVG_200D")</f>
        <v>-8.8312860000000004</v>
      </c>
      <c r="T102">
        <f>_xll.BDP(A102&amp;" AB Equity","HIGH_30D")</f>
        <v>11.32</v>
      </c>
      <c r="U102">
        <f>_xll.BDP(A102&amp;" AB Equity","LOW_30D")</f>
        <v>10.66</v>
      </c>
      <c r="V102" s="11" t="str" cm="1">
        <f t="array" aca="1" ref="V102" ca="1">_xll.BDH(A102&amp;" AB Equity","MOV_AVG_200D",TODAY()-32,TODAY()-32,"Days=T")</f>
        <v>#N/A N/A</v>
      </c>
      <c r="W102">
        <v>12.601599999999999</v>
      </c>
      <c r="X102">
        <f>IF(B102="","",_xlfn.SINGLE(_xll.BDP(A102&amp;" AB Equity","MOV_AVG_200D")))</f>
        <v>11.92295</v>
      </c>
    </row>
    <row r="103" spans="1:24" x14ac:dyDescent="0.25">
      <c r="A103" t="s">
        <v>112</v>
      </c>
      <c r="B103">
        <f>_xll.BDP(A103&amp;" AB Equity","LAST_PRICE")</f>
        <v>3.94</v>
      </c>
      <c r="C103">
        <f>_xll.BDP(A103&amp;" AB Equity","LAST_PRICE")</f>
        <v>3.94</v>
      </c>
      <c r="D103">
        <f>_xll.BDP(A103&amp;" AB Equity","RT_PX_CHG_PCT_1D")</f>
        <v>-0.2531999945640564</v>
      </c>
      <c r="E103">
        <f>_xll.BDP(A103&amp;" AB Equity","CHG_PCT_1M_RT")</f>
        <v>-1.99</v>
      </c>
      <c r="F103">
        <f>_xll.BDP(A103&amp;" AB Equity","CHG_PCT_YTD_RT")</f>
        <v>-3.4314</v>
      </c>
      <c r="G103">
        <f>_xll.BDP(A103&amp;" AB Equity","YEST_LAST_TRADE")</f>
        <v>3.95</v>
      </c>
      <c r="H103">
        <f>_xll.BDP(A103&amp;" AB Equity","HIGH_52WEEK")</f>
        <v>4.53</v>
      </c>
      <c r="I103">
        <f>_xll.BDP(A103&amp;" AB Equity","LOW_52WEEK")</f>
        <v>3.92</v>
      </c>
      <c r="J103">
        <f>_xll.BDP(A103&amp;" AB Equity","VOLUME")</f>
        <v>119105</v>
      </c>
      <c r="K103">
        <f>_xll.BDP(A103&amp;" AB Equity","OPEN")</f>
        <v>3.93</v>
      </c>
      <c r="L103">
        <f>_xll.BDP(A103&amp;" AB Equity","LOW")</f>
        <v>3.91</v>
      </c>
      <c r="M103">
        <f>_xll.BDP(A103&amp;" AB Equity","HIGH")</f>
        <v>3.95</v>
      </c>
      <c r="N103">
        <f>_xll.BDP(A103&amp;" AB Equity","VWAP")</f>
        <v>3.9243999999999999</v>
      </c>
      <c r="O103" t="str">
        <f>_xll.BDP(A103&amp;" AB Equity","SAUDI_ARABIA_EXCHANGE_ID")</f>
        <v>4335</v>
      </c>
      <c r="P103">
        <f>_xll.BDP(A103&amp;" AB Equity","VOLUME_AVG_30D")</f>
        <v>82217.63</v>
      </c>
      <c r="Q103">
        <f>_xll.BDP(A103&amp;" AB Equity","BID")</f>
        <v>3.92</v>
      </c>
      <c r="R103">
        <f>_xll.BDP(A103&amp;" AB Equity","ASK")</f>
        <v>3.94</v>
      </c>
      <c r="S103">
        <f>_xll.BDP(A103&amp;" AB Equity","CHG_PCT_MOV_AVG_200D")</f>
        <v>-6.4227020000000001</v>
      </c>
      <c r="T103">
        <f>_xll.BDP(A103&amp;" AB Equity","HIGH_30D")</f>
        <v>4.1100000000000003</v>
      </c>
      <c r="U103">
        <f>_xll.BDP(A103&amp;" AB Equity","LOW_30D")</f>
        <v>3.94</v>
      </c>
      <c r="V103" s="11" t="str" cm="1">
        <f t="array" aca="1" ref="V103" ca="1">_xll.BDH(A103&amp;" AB Equity","MOV_AVG_200D",TODAY()-32,TODAY()-32,"Days=T")</f>
        <v>#N/A N/A</v>
      </c>
      <c r="W103">
        <v>4.2348999999999997</v>
      </c>
      <c r="X103">
        <f>IF(B103="","",_xlfn.SINGLE(_xll.BDP(A103&amp;" AB Equity","MOV_AVG_200D")))</f>
        <v>4.1890499999999999</v>
      </c>
    </row>
    <row r="104" spans="1:24" x14ac:dyDescent="0.25">
      <c r="A104" t="s">
        <v>113</v>
      </c>
      <c r="B104">
        <f>_xll.BDP(A104&amp;" AB Equity","LAST_PRICE")</f>
        <v>5.69</v>
      </c>
      <c r="C104">
        <f>_xll.BDP(A104&amp;" AB Equity","LAST_PRICE")</f>
        <v>5.69</v>
      </c>
      <c r="D104">
        <f>_xll.BDP(A104&amp;" AB Equity","RT_PX_CHG_PCT_1D")</f>
        <v>0.52999997138977051</v>
      </c>
      <c r="E104">
        <f>_xll.BDP(A104&amp;" AB Equity","CHG_PCT_1M_RT")</f>
        <v>4.2125000000000004</v>
      </c>
      <c r="F104">
        <f>_xll.BDP(A104&amp;" AB Equity","CHG_PCT_YTD_RT")</f>
        <v>8.7954000000000008</v>
      </c>
      <c r="G104">
        <f>_xll.BDP(A104&amp;" AB Equity","YEST_LAST_TRADE")</f>
        <v>5.66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128121</v>
      </c>
      <c r="K104">
        <f>_xll.BDP(A104&amp;" AB Equity","OPEN")</f>
        <v>5.68</v>
      </c>
      <c r="L104">
        <f>_xll.BDP(A104&amp;" AB Equity","LOW")</f>
        <v>5.65</v>
      </c>
      <c r="M104">
        <f>_xll.BDP(A104&amp;" AB Equity","HIGH")</f>
        <v>5.7</v>
      </c>
      <c r="N104">
        <f>_xll.BDP(A104&amp;" AB Equity","VWAP")</f>
        <v>5.6803999999999997</v>
      </c>
      <c r="O104" t="str">
        <f>_xll.BDP(A104&amp;" AB Equity","SAUDI_ARABIA_EXCHANGE_ID")</f>
        <v>4339</v>
      </c>
      <c r="P104">
        <f>_xll.BDP(A104&amp;" AB Equity","VOLUME_AVG_30D")</f>
        <v>199936.4</v>
      </c>
      <c r="Q104">
        <f>_xll.BDP(A104&amp;" AB Equity","BID")</f>
        <v>5.67</v>
      </c>
      <c r="R104">
        <f>_xll.BDP(A104&amp;" AB Equity","ASK")</f>
        <v>5.69</v>
      </c>
      <c r="S104">
        <f>_xll.BDP(A104&amp;" AB Equity","CHG_PCT_MOV_AVG_200D")</f>
        <v>5.25143</v>
      </c>
      <c r="T104">
        <f>_xll.BDP(A104&amp;" AB Equity","HIGH_30D")</f>
        <v>5.7</v>
      </c>
      <c r="U104">
        <f>_xll.BDP(A104&amp;" AB Equity","LOW_30D")</f>
        <v>5.27</v>
      </c>
      <c r="V104" s="11" t="str" cm="1">
        <f t="array" aca="1" ref="V104" ca="1">_xll.BDH(A104&amp;" AB Equity","MOV_AVG_200D",TODAY()-32,TODAY()-32,"Days=T")</f>
        <v>#N/A N/A</v>
      </c>
      <c r="W104">
        <v>4.2351000000000001</v>
      </c>
      <c r="X104">
        <f>IF(B104="","",_xlfn.SINGLE(_xll.BDP(A104&amp;" AB Equity","MOV_AVG_200D")))</f>
        <v>5.3871000000000002</v>
      </c>
    </row>
    <row r="105" spans="1:24" x14ac:dyDescent="0.25">
      <c r="A105" t="s">
        <v>114</v>
      </c>
      <c r="B105">
        <f>_xll.BDP(A105&amp;" AB Equity","LAST_PRICE")</f>
        <v>10.9</v>
      </c>
      <c r="C105">
        <f>_xll.BDP(A105&amp;" AB Equity","LAST_PRICE")</f>
        <v>10.9</v>
      </c>
      <c r="D105">
        <f>_xll.BDP(A105&amp;" AB Equity","RT_PX_CHG_PCT_1D")</f>
        <v>-1.5356999635696411</v>
      </c>
      <c r="E105">
        <f>_xll.BDP(A105&amp;" AB Equity","CHG_PCT_1M_RT")</f>
        <v>-3.1972</v>
      </c>
      <c r="F105">
        <f>_xll.BDP(A105&amp;" AB Equity","CHG_PCT_YTD_RT")</f>
        <v>-2.4171999999999998</v>
      </c>
      <c r="G105">
        <f>_xll.BDP(A105&amp;" AB Equity","YEST_LAST_TRADE")</f>
        <v>11.07</v>
      </c>
      <c r="H105">
        <f>_xll.BDP(A105&amp;" AB Equity","HIGH_52WEEK")</f>
        <v>11.7</v>
      </c>
      <c r="I105">
        <f>_xll.BDP(A105&amp;" AB Equity","LOW_52WEEK")</f>
        <v>9.99</v>
      </c>
      <c r="J105">
        <f>_xll.BDP(A105&amp;" AB Equity","VOLUME")</f>
        <v>577883</v>
      </c>
      <c r="K105">
        <f>_xll.BDP(A105&amp;" AB Equity","OPEN")</f>
        <v>10.98</v>
      </c>
      <c r="L105">
        <f>_xll.BDP(A105&amp;" AB Equity","LOW")</f>
        <v>10.88</v>
      </c>
      <c r="M105">
        <f>_xll.BDP(A105&amp;" AB Equity","HIGH")</f>
        <v>11.01</v>
      </c>
      <c r="N105">
        <f>_xll.BDP(A105&amp;" AB Equity","VWAP")</f>
        <v>10.9315</v>
      </c>
      <c r="O105" t="str">
        <f>_xll.BDP(A105&amp;" AB Equity","SAUDI_ARABIA_EXCHANGE_ID")</f>
        <v>4342</v>
      </c>
      <c r="P105">
        <f>_xll.BDP(A105&amp;" AB Equity","VOLUME_AVG_30D")</f>
        <v>162718.39999999999</v>
      </c>
      <c r="Q105">
        <f>_xll.BDP(A105&amp;" AB Equity","BID")</f>
        <v>10.89</v>
      </c>
      <c r="R105">
        <f>_xll.BDP(A105&amp;" AB Equity","ASK")</f>
        <v>10.9</v>
      </c>
      <c r="S105">
        <f>_xll.BDP(A105&amp;" AB Equity","CHG_PCT_MOV_AVG_200D")</f>
        <v>-1.4218040000000001</v>
      </c>
      <c r="T105">
        <f>_xll.BDP(A105&amp;" AB Equity","HIGH_30D")</f>
        <v>11.42</v>
      </c>
      <c r="U105">
        <f>_xll.BDP(A105&amp;" AB Equity","LOW_30D")</f>
        <v>10.99</v>
      </c>
      <c r="V105" s="11" t="str" cm="1">
        <f t="array" aca="1" ref="V105" ca="1">_xll.BDH(A105&amp;" AB Equity","MOV_AVG_200D",TODAY()-32,TODAY()-32,"Days=T")</f>
        <v>#N/A N/A</v>
      </c>
      <c r="W105">
        <v>4.2347000000000001</v>
      </c>
      <c r="X105">
        <f>IF(B105="","",_xlfn.SINGLE(_xll.BDP(A105&amp;" AB Equity","MOV_AVG_200D")))</f>
        <v>11.077500000000001</v>
      </c>
    </row>
    <row r="106" spans="1:24" x14ac:dyDescent="0.25">
      <c r="A106" t="s">
        <v>115</v>
      </c>
      <c r="B106">
        <f>_xll.BDP(A106&amp;" AB Equity","LAST_PRICE")</f>
        <v>9</v>
      </c>
      <c r="C106">
        <f>_xll.BDP(A106&amp;" AB Equity","LAST_PRICE")</f>
        <v>9</v>
      </c>
      <c r="D106">
        <f>_xll.BDP(A106&amp;" AB Equity","RT_PX_CHG_PCT_1D")</f>
        <v>-0.55250000953674316</v>
      </c>
      <c r="E106">
        <f>_xll.BDP(A106&amp;" AB Equity","CHG_PCT_1M_RT")</f>
        <v>0.55869999999999997</v>
      </c>
      <c r="F106">
        <f>_xll.BDP(A106&amp;" AB Equity","CHG_PCT_YTD_RT")</f>
        <v>2.1566000000000001</v>
      </c>
      <c r="G106">
        <f>_xll.BDP(A106&amp;" AB Equity","YEST_LAST_TRADE")</f>
        <v>9.0500000000000007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50857</v>
      </c>
      <c r="K106">
        <f>_xll.BDP(A106&amp;" AB Equity","OPEN")</f>
        <v>9.06</v>
      </c>
      <c r="L106">
        <f>_xll.BDP(A106&amp;" AB Equity","LOW")</f>
        <v>8.99</v>
      </c>
      <c r="M106">
        <f>_xll.BDP(A106&amp;" AB Equity","HIGH")</f>
        <v>9.09</v>
      </c>
      <c r="N106">
        <f>_xll.BDP(A106&amp;" AB Equity","VWAP")</f>
        <v>9.0084999999999997</v>
      </c>
      <c r="O106" t="str">
        <f>_xll.BDP(A106&amp;" AB Equity","SAUDI_ARABIA_EXCHANGE_ID")</f>
        <v>4334</v>
      </c>
      <c r="P106">
        <f>_xll.BDP(A106&amp;" AB Equity","VOLUME_AVG_30D")</f>
        <v>37745.730000000003</v>
      </c>
      <c r="Q106">
        <f>_xll.BDP(A106&amp;" AB Equity","BID")</f>
        <v>9</v>
      </c>
      <c r="R106">
        <f>_xll.BDP(A106&amp;" AB Equity","ASK")</f>
        <v>9.02</v>
      </c>
      <c r="S106">
        <f>_xll.BDP(A106&amp;" AB Equity","CHG_PCT_MOV_AVG_200D")</f>
        <v>0.60832980000000003</v>
      </c>
      <c r="T106">
        <f>_xll.BDP(A106&amp;" AB Equity","HIGH_30D")</f>
        <v>9.18</v>
      </c>
      <c r="U106">
        <f>_xll.BDP(A106&amp;" AB Equity","LOW_30D")</f>
        <v>8.85</v>
      </c>
      <c r="V106" s="11" t="str" cm="1">
        <f t="array" aca="1" ref="V106" ca="1">_xll.BDH(A106&amp;" AB Equity","MOV_AVG_200D",TODAY()-32,TODAY()-32,"Days=T")</f>
        <v>#N/A N/A</v>
      </c>
      <c r="W106">
        <v>4.234</v>
      </c>
      <c r="X106">
        <f>IF(B106="","",_xlfn.SINGLE(_xll.BDP(A106&amp;" AB Equity","MOV_AVG_200D")))</f>
        <v>8.9754000000000005</v>
      </c>
    </row>
    <row r="107" spans="1:24" x14ac:dyDescent="0.25">
      <c r="A107" t="s">
        <v>116</v>
      </c>
      <c r="B107">
        <f>_xll.BDP(A107&amp;" AB Equity","LAST_PRICE")</f>
        <v>6.43</v>
      </c>
      <c r="C107">
        <f>_xll.BDP(A107&amp;" AB Equity","LAST_PRICE")</f>
        <v>6.43</v>
      </c>
      <c r="D107">
        <f>_xll.BDP(A107&amp;" AB Equity","RT_PX_CHG_PCT_1D")</f>
        <v>-0.9244999885559082</v>
      </c>
      <c r="E107">
        <f>_xll.BDP(A107&amp;" AB Equity","CHG_PCT_1M_RT")</f>
        <v>0.46879999999999999</v>
      </c>
      <c r="F107">
        <f>_xll.BDP(A107&amp;" AB Equity","CHG_PCT_YTD_RT")</f>
        <v>2.0634999999999999</v>
      </c>
      <c r="G107">
        <f>_xll.BDP(A107&amp;" AB Equity","YEST_LAST_TRADE")</f>
        <v>6.49</v>
      </c>
      <c r="H107">
        <f>_xll.BDP(A107&amp;" AB Equity","HIGH_52WEEK")</f>
        <v>7.25</v>
      </c>
      <c r="I107">
        <f>_xll.BDP(A107&amp;" AB Equity","LOW_52WEEK")</f>
        <v>5.8</v>
      </c>
      <c r="J107">
        <f>_xll.BDP(A107&amp;" AB Equity","VOLUME")</f>
        <v>46814</v>
      </c>
      <c r="K107">
        <f>_xll.BDP(A107&amp;" AB Equity","OPEN")</f>
        <v>6.42</v>
      </c>
      <c r="L107">
        <f>_xll.BDP(A107&amp;" AB Equity","LOW")</f>
        <v>6.4</v>
      </c>
      <c r="M107">
        <f>_xll.BDP(A107&amp;" AB Equity","HIGH")</f>
        <v>6.46</v>
      </c>
      <c r="N107">
        <f>_xll.BDP(A107&amp;" AB Equity","VWAP")</f>
        <v>6.4187000000000003</v>
      </c>
      <c r="O107" t="str">
        <f>_xll.BDP(A107&amp;" AB Equity","SAUDI_ARABIA_EXCHANGE_ID")</f>
        <v>4338</v>
      </c>
      <c r="P107">
        <f>_xll.BDP(A107&amp;" AB Equity","VOLUME_AVG_30D")</f>
        <v>40118.1</v>
      </c>
      <c r="Q107">
        <f>_xll.BDP(A107&amp;" AB Equity","BID")</f>
        <v>6.43</v>
      </c>
      <c r="R107">
        <f>_xll.BDP(A107&amp;" AB Equity","ASK")</f>
        <v>6.45</v>
      </c>
      <c r="S107">
        <f>_xll.BDP(A107&amp;" AB Equity","CHG_PCT_MOV_AVG_200D")</f>
        <v>-8.2100820000000005E-2</v>
      </c>
      <c r="T107">
        <f>_xll.BDP(A107&amp;" AB Equity","HIGH_30D")</f>
        <v>6.5</v>
      </c>
      <c r="U107">
        <f>_xll.BDP(A107&amp;" AB Equity","LOW_30D")</f>
        <v>6.35</v>
      </c>
      <c r="V107" s="11" t="str" cm="1">
        <f t="array" aca="1" ref="V107" ca="1">_xll.BDH(A107&amp;" AB Equity","MOV_AVG_200D",TODAY()-32,TODAY()-32,"Days=T")</f>
        <v>#N/A N/A</v>
      </c>
      <c r="W107">
        <v>4.2331000000000003</v>
      </c>
      <c r="X107">
        <f>IF(B107="","",_xlfn.SINGLE(_xll.BDP(A107&amp;" AB Equity","MOV_AVG_200D")))</f>
        <v>6.4553000000000003</v>
      </c>
    </row>
    <row r="108" spans="1:24" x14ac:dyDescent="0.25">
      <c r="A108" t="s">
        <v>117</v>
      </c>
      <c r="B108">
        <f>_xll.BDP(A108&amp;" AB Equity","LAST_PRICE")</f>
        <v>3.41</v>
      </c>
      <c r="C108">
        <f>_xll.BDP(A108&amp;" AB Equity","LAST_PRICE")</f>
        <v>3.41</v>
      </c>
      <c r="D108">
        <f>_xll.BDP(A108&amp;" AB Equity","RT_PX_CHG_PCT_1D")</f>
        <v>0</v>
      </c>
      <c r="E108">
        <f>_xll.BDP(A108&amp;" AB Equity","CHG_PCT_1M_RT")</f>
        <v>-0.58309999999999995</v>
      </c>
      <c r="F108">
        <f>_xll.BDP(A108&amp;" AB Equity","CHG_PCT_YTD_RT")</f>
        <v>-1.7291000000000001</v>
      </c>
      <c r="G108">
        <f>_xll.BDP(A108&amp;" AB Equity","YEST_LAST_TRADE")</f>
        <v>3.41</v>
      </c>
      <c r="H108">
        <f>_xll.BDP(A108&amp;" AB Equity","HIGH_52WEEK")</f>
        <v>3.85</v>
      </c>
      <c r="I108">
        <f>_xll.BDP(A108&amp;" AB Equity","LOW_52WEEK")</f>
        <v>3.34</v>
      </c>
      <c r="J108">
        <f>_xll.BDP(A108&amp;" AB Equity","VOLUME")</f>
        <v>85468</v>
      </c>
      <c r="K108">
        <f>_xll.BDP(A108&amp;" AB Equity","OPEN")</f>
        <v>3.4</v>
      </c>
      <c r="L108">
        <f>_xll.BDP(A108&amp;" AB Equity","LOW")</f>
        <v>3.38</v>
      </c>
      <c r="M108">
        <f>_xll.BDP(A108&amp;" AB Equity","HIGH")</f>
        <v>3.42</v>
      </c>
      <c r="N108">
        <f>_xll.BDP(A108&amp;" AB Equity","VWAP")</f>
        <v>3.3971</v>
      </c>
      <c r="O108" t="str">
        <f>_xll.BDP(A108&amp;" AB Equity","SAUDI_ARABIA_EXCHANGE_ID")</f>
        <v>4346</v>
      </c>
      <c r="P108">
        <f>_xll.BDP(A108&amp;" AB Equity","VOLUME_AVG_30D")</f>
        <v>90705.66</v>
      </c>
      <c r="Q108">
        <f>_xll.BDP(A108&amp;" AB Equity","BID")</f>
        <v>3.4</v>
      </c>
      <c r="R108">
        <f>_xll.BDP(A108&amp;" AB Equity","ASK")</f>
        <v>3.41</v>
      </c>
      <c r="S108">
        <f>_xll.BDP(A108&amp;" AB Equity","CHG_PCT_MOV_AVG_200D")</f>
        <v>-4.8193970000000004</v>
      </c>
      <c r="T108">
        <f>_xll.BDP(A108&amp;" AB Equity","HIGH_30D")</f>
        <v>3.51</v>
      </c>
      <c r="U108">
        <f>_xll.BDP(A108&amp;" AB Equity","LOW_30D")</f>
        <v>3.35</v>
      </c>
      <c r="V108" s="11" t="str" cm="1">
        <f t="array" aca="1" ref="V108" ca="1">_xll.BDH(A108&amp;" AB Equity","MOV_AVG_200D",TODAY()-32,TODAY()-32,"Days=T")</f>
        <v>#N/A N/A</v>
      </c>
      <c r="W108">
        <v>4.2323000000000004</v>
      </c>
      <c r="X108">
        <f>IF(B108="","",_xlfn.SINGLE(_xll.BDP(A108&amp;" AB Equity","MOV_AVG_200D")))</f>
        <v>3.5616500000000002</v>
      </c>
    </row>
    <row r="109" spans="1:24" x14ac:dyDescent="0.25">
      <c r="A109" t="s">
        <v>118</v>
      </c>
      <c r="B109">
        <f>_xll.BDP(A109&amp;" AB Equity","LAST_PRICE")</f>
        <v>6.98</v>
      </c>
      <c r="C109">
        <f>_xll.BDP(A109&amp;" AB Equity","LAST_PRICE")</f>
        <v>6.98</v>
      </c>
      <c r="D109">
        <f>_xll.BDP(A109&amp;" AB Equity","RT_PX_CHG_PCT_1D")</f>
        <v>-0.2856999933719635</v>
      </c>
      <c r="E109">
        <f>_xll.BDP(A109&amp;" AB Equity","CHG_PCT_1M_RT")</f>
        <v>-1.1331</v>
      </c>
      <c r="F109">
        <f>_xll.BDP(A109&amp;" AB Equity","CHG_PCT_YTD_RT")</f>
        <v>-0.42799999999999999</v>
      </c>
      <c r="G109">
        <f>_xll.BDP(A109&amp;" AB Equity","YEST_LAST_TRADE")</f>
        <v>7</v>
      </c>
      <c r="H109">
        <f>_xll.BDP(A109&amp;" AB Equity","HIGH_52WEEK")</f>
        <v>9.8699999999999992</v>
      </c>
      <c r="I109">
        <f>_xll.BDP(A109&amp;" AB Equity","LOW_52WEEK")</f>
        <v>6.83</v>
      </c>
      <c r="J109">
        <f>_xll.BDP(A109&amp;" AB Equity","VOLUME")</f>
        <v>63314</v>
      </c>
      <c r="K109">
        <f>_xll.BDP(A109&amp;" AB Equity","OPEN")</f>
        <v>6.95</v>
      </c>
      <c r="L109">
        <f>_xll.BDP(A109&amp;" AB Equity","LOW")</f>
        <v>6.95</v>
      </c>
      <c r="M109">
        <f>_xll.BDP(A109&amp;" AB Equity","HIGH")</f>
        <v>7</v>
      </c>
      <c r="N109">
        <f>_xll.BDP(A109&amp;" AB Equity","VWAP")</f>
        <v>6.9744000000000002</v>
      </c>
      <c r="O109" t="str">
        <f>_xll.BDP(A109&amp;" AB Equity","SAUDI_ARABIA_EXCHANGE_ID")</f>
        <v>4350</v>
      </c>
      <c r="P109">
        <f>_xll.BDP(A109&amp;" AB Equity","VOLUME_AVG_30D")</f>
        <v>45808.73</v>
      </c>
      <c r="Q109">
        <f>_xll.BDP(A109&amp;" AB Equity","BID")</f>
        <v>6.98</v>
      </c>
      <c r="R109">
        <f>_xll.BDP(A109&amp;" AB Equity","ASK")</f>
        <v>7</v>
      </c>
      <c r="S109">
        <f>_xll.BDP(A109&amp;" AB Equity","CHG_PCT_MOV_AVG_200D")</f>
        <v>-7.3329319999999996</v>
      </c>
      <c r="T109">
        <f>_xll.BDP(A109&amp;" AB Equity","HIGH_30D")</f>
        <v>7.34</v>
      </c>
      <c r="U109">
        <f>_xll.BDP(A109&amp;" AB Equity","LOW_30D")</f>
        <v>6.87</v>
      </c>
      <c r="V109" s="11" t="str" cm="1">
        <f t="array" aca="1" ref="V109" ca="1">_xll.BDH(A109&amp;" AB Equity","MOV_AVG_200D",TODAY()-32,TODAY()-32,"Days=T")</f>
        <v>#N/A N/A</v>
      </c>
      <c r="W109">
        <v>5.4001999999999999</v>
      </c>
      <c r="X109">
        <f>IF(B109="","",_xlfn.SINGLE(_xll.BDP(A109&amp;" AB Equity","MOV_AVG_200D")))</f>
        <v>7.5215500000000004</v>
      </c>
    </row>
    <row r="110" spans="1:24" x14ac:dyDescent="0.25">
      <c r="A110" t="s">
        <v>119</v>
      </c>
      <c r="B110">
        <f>_xll.BDP(A110&amp;" AB Equity","LAST_PRICE")</f>
        <v>5.73</v>
      </c>
      <c r="C110">
        <f>_xll.BDP(A110&amp;" AB Equity","LAST_PRICE")</f>
        <v>5.73</v>
      </c>
      <c r="D110">
        <f>_xll.BDP(A110&amp;" AB Equity","RT_PX_CHG_PCT_1D")</f>
        <v>0</v>
      </c>
      <c r="E110">
        <f>_xll.BDP(A110&amp;" AB Equity","CHG_PCT_1M_RT")</f>
        <v>-0.17419999999999999</v>
      </c>
      <c r="F110">
        <f>_xll.BDP(A110&amp;" AB Equity","CHG_PCT_YTD_RT")</f>
        <v>3.6166</v>
      </c>
      <c r="G110">
        <f>_xll.BDP(A110&amp;" AB Equity","YEST_LAST_TRADE")</f>
        <v>5.73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84015</v>
      </c>
      <c r="K110">
        <f>_xll.BDP(A110&amp;" AB Equity","OPEN")</f>
        <v>5.73</v>
      </c>
      <c r="L110">
        <f>_xll.BDP(A110&amp;" AB Equity","LOW")</f>
        <v>5.72</v>
      </c>
      <c r="M110">
        <f>_xll.BDP(A110&amp;" AB Equity","HIGH")</f>
        <v>5.74</v>
      </c>
      <c r="N110">
        <f>_xll.BDP(A110&amp;" AB Equity","VWAP")</f>
        <v>5.7232000000000003</v>
      </c>
      <c r="O110" t="str">
        <f>_xll.BDP(A110&amp;" AB Equity","SAUDI_ARABIA_EXCHANGE_ID")</f>
        <v>4348</v>
      </c>
      <c r="P110">
        <f>_xll.BDP(A110&amp;" AB Equity","VOLUME_AVG_30D")</f>
        <v>118583.4</v>
      </c>
      <c r="Q110">
        <f>_xll.BDP(A110&amp;" AB Equity","BID")</f>
        <v>5.72</v>
      </c>
      <c r="R110">
        <f>_xll.BDP(A110&amp;" AB Equity","ASK")</f>
        <v>5.73</v>
      </c>
      <c r="S110">
        <f>_xll.BDP(A110&amp;" AB Equity","CHG_PCT_MOV_AVG_200D")</f>
        <v>0.53249219999999997</v>
      </c>
      <c r="T110">
        <f>_xll.BDP(A110&amp;" AB Equity","HIGH_30D")</f>
        <v>5.81</v>
      </c>
      <c r="U110">
        <f>_xll.BDP(A110&amp;" AB Equity","LOW_30D")</f>
        <v>5.67</v>
      </c>
      <c r="V110" s="11" t="str" cm="1">
        <f t="array" aca="1" ref="V110" ca="1">_xll.BDH(A110&amp;" AB Equity","MOV_AVG_200D",TODAY()-32,TODAY()-32,"Days=T")</f>
        <v>#N/A N/A</v>
      </c>
      <c r="W110">
        <v>10.837899999999999</v>
      </c>
      <c r="X110">
        <f>IF(B110="","",_xlfn.SINGLE(_xll.BDP(A110&amp;" AB Equity","MOV_AVG_200D")))</f>
        <v>5.6996500000000001</v>
      </c>
    </row>
    <row r="111" spans="1:24" x14ac:dyDescent="0.25">
      <c r="A111" t="s">
        <v>120</v>
      </c>
      <c r="B111">
        <f>_xll.BDP(A111&amp;" AB Equity","LAST_PRICE")</f>
        <v>5.05</v>
      </c>
      <c r="C111">
        <f>_xll.BDP(A111&amp;" AB Equity","LAST_PRICE")</f>
        <v>5.05</v>
      </c>
      <c r="D111">
        <f>_xll.BDP(A111&amp;" AB Equity","RT_PX_CHG_PCT_1D")</f>
        <v>0.59759998321533203</v>
      </c>
      <c r="E111">
        <f>_xll.BDP(A111&amp;" AB Equity","CHG_PCT_1M_RT")</f>
        <v>1</v>
      </c>
      <c r="F111">
        <f>_xll.BDP(A111&amp;" AB Equity","CHG_PCT_YTD_RT")</f>
        <v>1.8145</v>
      </c>
      <c r="G111">
        <f>_xll.BDP(A111&amp;" AB Equity","YEST_LAST_TRADE")</f>
        <v>5.0199999999999996</v>
      </c>
      <c r="H111">
        <f>_xll.BDP(A111&amp;" AB Equity","HIGH_52WEEK")</f>
        <v>5.82</v>
      </c>
      <c r="I111">
        <f>_xll.BDP(A111&amp;" AB Equity","LOW_52WEEK")</f>
        <v>4.7</v>
      </c>
      <c r="J111">
        <f>_xll.BDP(A111&amp;" AB Equity","VOLUME")</f>
        <v>158975</v>
      </c>
      <c r="K111">
        <f>_xll.BDP(A111&amp;" AB Equity","OPEN")</f>
        <v>5</v>
      </c>
      <c r="L111">
        <f>_xll.BDP(A111&amp;" AB Equity","LOW")</f>
        <v>5</v>
      </c>
      <c r="M111">
        <f>_xll.BDP(A111&amp;" AB Equity","HIGH")</f>
        <v>5.05</v>
      </c>
      <c r="N111">
        <f>_xll.BDP(A111&amp;" AB Equity","VWAP")</f>
        <v>5.0297000000000001</v>
      </c>
      <c r="O111" t="str">
        <f>_xll.BDP(A111&amp;" AB Equity","SAUDI_ARABIA_EXCHANGE_ID")</f>
        <v>4330</v>
      </c>
      <c r="P111">
        <f>_xll.BDP(A111&amp;" AB Equity","VOLUME_AVG_30D")</f>
        <v>112393.2</v>
      </c>
      <c r="Q111">
        <f>_xll.BDP(A111&amp;" AB Equity","BID")</f>
        <v>5.04</v>
      </c>
      <c r="R111">
        <f>_xll.BDP(A111&amp;" AB Equity","ASK")</f>
        <v>5.05</v>
      </c>
      <c r="S111">
        <f>_xll.BDP(A111&amp;" AB Equity","CHG_PCT_MOV_AVG_200D")</f>
        <v>-1.2573479999999999</v>
      </c>
      <c r="T111">
        <f>_xll.BDP(A111&amp;" AB Equity","HIGH_30D")</f>
        <v>5.05</v>
      </c>
      <c r="U111">
        <f>_xll.BDP(A111&amp;" AB Equity","LOW_30D")</f>
        <v>4.8899999999999997</v>
      </c>
      <c r="V111" s="11" t="str" cm="1">
        <f t="array" aca="1" ref="V111" ca="1">_xll.BDH(A111&amp;" AB Equity","MOV_AVG_200D",TODAY()-32,TODAY()-32,"Days=T")</f>
        <v>#N/A N/A</v>
      </c>
      <c r="W111">
        <v>9.0426000000000002</v>
      </c>
      <c r="X111">
        <f>IF(B111="","",_xlfn.SINGLE(_xll.BDP(A111&amp;" AB Equity","MOV_AVG_200D")))</f>
        <v>5.0940500000000002</v>
      </c>
    </row>
    <row r="112" spans="1:24" x14ac:dyDescent="0.25">
      <c r="A112" t="s">
        <v>121</v>
      </c>
      <c r="B112">
        <f>_xll.BDP(A112&amp;" AB Equity","LAST_PRICE")</f>
        <v>10.76</v>
      </c>
      <c r="C112">
        <f>_xll.BDP(A112&amp;" AB Equity","LAST_PRICE")</f>
        <v>10.76</v>
      </c>
      <c r="D112">
        <f>_xll.BDP(A112&amp;" AB Equity","RT_PX_CHG_PCT_1D")</f>
        <v>0</v>
      </c>
      <c r="E112">
        <f>_xll.BDP(A112&amp;" AB Equity","CHG_PCT_1M_RT")</f>
        <v>2.4762</v>
      </c>
      <c r="F112">
        <f>_xll.BDP(A112&amp;" AB Equity","CHG_PCT_YTD_RT")</f>
        <v>5.9055</v>
      </c>
      <c r="G112">
        <f>_xll.BDP(A112&amp;" AB Equity","YEST_LAST_TRADE")</f>
        <v>10.76</v>
      </c>
      <c r="H112">
        <f>_xll.BDP(A112&amp;" AB Equity","HIGH_52WEEK")</f>
        <v>10.93</v>
      </c>
      <c r="I112">
        <f>_xll.BDP(A112&amp;" AB Equity","LOW_52WEEK")</f>
        <v>9.32</v>
      </c>
      <c r="J112">
        <f>_xll.BDP(A112&amp;" AB Equity","VOLUME")</f>
        <v>149065</v>
      </c>
      <c r="K112">
        <f>_xll.BDP(A112&amp;" AB Equity","OPEN")</f>
        <v>10.3</v>
      </c>
      <c r="L112">
        <f>_xll.BDP(A112&amp;" AB Equity","LOW")</f>
        <v>10.3</v>
      </c>
      <c r="M112">
        <f>_xll.BDP(A112&amp;" AB Equity","HIGH")</f>
        <v>10.87</v>
      </c>
      <c r="N112">
        <f>_xll.BDP(A112&amp;" AB Equity","VWAP")</f>
        <v>10.6313</v>
      </c>
      <c r="O112" t="str">
        <f>_xll.BDP(A112&amp;" AB Equity","SAUDI_ARABIA_EXCHANGE_ID")</f>
        <v>4333</v>
      </c>
      <c r="P112">
        <f>_xll.BDP(A112&amp;" AB Equity","VOLUME_AVG_30D")</f>
        <v>26544.9</v>
      </c>
      <c r="Q112">
        <f>_xll.BDP(A112&amp;" AB Equity","BID")</f>
        <v>10.7</v>
      </c>
      <c r="R112">
        <f>_xll.BDP(A112&amp;" AB Equity","ASK")</f>
        <v>10.76</v>
      </c>
      <c r="S112">
        <f>_xll.BDP(A112&amp;" AB Equity","CHG_PCT_MOV_AVG_200D")</f>
        <v>5.3439940000000004</v>
      </c>
      <c r="T112">
        <f>_xll.BDP(A112&amp;" AB Equity","HIGH_30D")</f>
        <v>10.93</v>
      </c>
      <c r="U112">
        <f>_xll.BDP(A112&amp;" AB Equity","LOW_30D")</f>
        <v>10.3</v>
      </c>
      <c r="V112" s="11" t="str" cm="1">
        <f t="array" aca="1" ref="V112" ca="1">_xll.BDH(A112&amp;" AB Equity","MOV_AVG_200D",TODAY()-32,TODAY()-32,"Days=T")</f>
        <v>#N/A N/A</v>
      </c>
      <c r="W112">
        <v>6.5808999999999997</v>
      </c>
      <c r="X112">
        <f>IF(B112="","",_xlfn.SINGLE(_xll.BDP(A112&amp;" AB Equity","MOV_AVG_200D")))</f>
        <v>10.1572</v>
      </c>
    </row>
    <row r="113" spans="1:24" x14ac:dyDescent="0.25">
      <c r="A113" t="s">
        <v>122</v>
      </c>
      <c r="B113">
        <f>_xll.BDP(A113&amp;" AB Equity","LAST_PRICE")</f>
        <v>5.0999999999999996</v>
      </c>
      <c r="C113">
        <f>_xll.BDP(A113&amp;" AB Equity","LAST_PRICE")</f>
        <v>5.0999999999999996</v>
      </c>
      <c r="D113">
        <f>_xll.BDP(A113&amp;" AB Equity","RT_PX_CHG_PCT_1D")</f>
        <v>-0.19570000469684601</v>
      </c>
      <c r="E113">
        <f>_xll.BDP(A113&amp;" AB Equity","CHG_PCT_1M_RT")</f>
        <v>-1.9231</v>
      </c>
      <c r="F113">
        <f>_xll.BDP(A113&amp;" AB Equity","CHG_PCT_YTD_RT")</f>
        <v>26.2376</v>
      </c>
      <c r="G113">
        <f>_xll.BDP(A113&amp;" AB Equity","YEST_LAST_TRADE")</f>
        <v>5.1100000000000003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41807</v>
      </c>
      <c r="K113">
        <f>_xll.BDP(A113&amp;" AB Equity","OPEN")</f>
        <v>5.0999999999999996</v>
      </c>
      <c r="L113">
        <f>_xll.BDP(A113&amp;" AB Equity","LOW")</f>
        <v>5.0999999999999996</v>
      </c>
      <c r="M113">
        <f>_xll.BDP(A113&amp;" AB Equity","HIGH")</f>
        <v>5.14</v>
      </c>
      <c r="N113">
        <f>_xll.BDP(A113&amp;" AB Equity","VWAP")</f>
        <v>5.1078999999999999</v>
      </c>
      <c r="O113" t="str">
        <f>_xll.BDP(A113&amp;" AB Equity","SAUDI_ARABIA_EXCHANGE_ID")</f>
        <v>4337</v>
      </c>
      <c r="P113">
        <f>_xll.BDP(A113&amp;" AB Equity","VOLUME_AVG_30D")</f>
        <v>42220.46</v>
      </c>
      <c r="Q113">
        <f>_xll.BDP(A113&amp;" AB Equity","BID")</f>
        <v>5.0999999999999996</v>
      </c>
      <c r="R113">
        <f>_xll.BDP(A113&amp;" AB Equity","ASK")</f>
        <v>5.13</v>
      </c>
      <c r="S113">
        <f>_xll.BDP(A113&amp;" AB Equity","CHG_PCT_MOV_AVG_200D")</f>
        <v>11.18741</v>
      </c>
      <c r="T113">
        <f>_xll.BDP(A113&amp;" AB Equity","HIGH_30D")</f>
        <v>5.35</v>
      </c>
      <c r="U113">
        <f>_xll.BDP(A113&amp;" AB Equity","LOW_30D")</f>
        <v>4.95</v>
      </c>
      <c r="V113" s="11" t="str" cm="1">
        <f t="array" aca="1" ref="V113" ca="1">_xll.BDH(A113&amp;" AB Equity","MOV_AVG_200D",TODAY()-32,TODAY()-32,"Days=T")</f>
        <v>#N/A N/A</v>
      </c>
      <c r="W113">
        <v>4.3235000000000001</v>
      </c>
      <c r="X113">
        <f>IF(B113="","",_xlfn.SINGLE(_xll.BDP(A113&amp;" AB Equity","MOV_AVG_200D")))</f>
        <v>4.5868500000000001</v>
      </c>
    </row>
    <row r="114" spans="1:24" x14ac:dyDescent="0.25">
      <c r="A114" t="s">
        <v>123</v>
      </c>
      <c r="B114">
        <f>_xll.BDP(A114&amp;" AB Equity","LAST_PRICE")</f>
        <v>9.99</v>
      </c>
      <c r="C114">
        <f>_xll.BDP(A114&amp;" AB Equity","LAST_PRICE")</f>
        <v>9.99</v>
      </c>
      <c r="D114">
        <f>_xll.BDP(A114&amp;" AB Equity","RT_PX_CHG_PCT_1D")</f>
        <v>-1.0891000032424927</v>
      </c>
      <c r="E114">
        <f>_xll.BDP(A114&amp;" AB Equity","CHG_PCT_1M_RT")</f>
        <v>3.3092000000000001</v>
      </c>
      <c r="F114">
        <f>_xll.BDP(A114&amp;" AB Equity","CHG_PCT_YTD_RT")</f>
        <v>7.6509</v>
      </c>
      <c r="G114">
        <f>_xll.BDP(A114&amp;" AB Equity","YEST_LAST_TRADE")</f>
        <v>10.1</v>
      </c>
      <c r="H114">
        <f>_xll.BDP(A114&amp;" AB Equity","HIGH_52WEEK")</f>
        <v>10.220000000000001</v>
      </c>
      <c r="I114">
        <f>_xll.BDP(A114&amp;" AB Equity","LOW_52WEEK")</f>
        <v>9</v>
      </c>
      <c r="J114">
        <f>_xll.BDP(A114&amp;" AB Equity","VOLUME")</f>
        <v>56428</v>
      </c>
      <c r="K114">
        <f>_xll.BDP(A114&amp;" AB Equity","OPEN")</f>
        <v>10.1</v>
      </c>
      <c r="L114">
        <f>_xll.BDP(A114&amp;" AB Equity","LOW")</f>
        <v>9.99</v>
      </c>
      <c r="M114">
        <f>_xll.BDP(A114&amp;" AB Equity","HIGH")</f>
        <v>10.1</v>
      </c>
      <c r="N114">
        <f>_xll.BDP(A114&amp;" AB Equity","VWAP")</f>
        <v>10.031499999999999</v>
      </c>
      <c r="O114" t="str">
        <f>_xll.BDP(A114&amp;" AB Equity","SAUDI_ARABIA_EXCHANGE_ID")</f>
        <v>4347</v>
      </c>
      <c r="P114">
        <f>_xll.BDP(A114&amp;" AB Equity","VOLUME_AVG_30D")</f>
        <v>146503.9</v>
      </c>
      <c r="Q114">
        <f>_xll.BDP(A114&amp;" AB Equity","BID")</f>
        <v>9.99</v>
      </c>
      <c r="R114">
        <f>_xll.BDP(A114&amp;" AB Equity","ASK")</f>
        <v>10.01</v>
      </c>
      <c r="S114">
        <f>_xll.BDP(A114&amp;" AB Equity","CHG_PCT_MOV_AVG_200D")</f>
        <v>6.8107749999999996</v>
      </c>
      <c r="T114">
        <f>_xll.BDP(A114&amp;" AB Equity","HIGH_30D")</f>
        <v>10.220000000000001</v>
      </c>
      <c r="U114">
        <f>_xll.BDP(A114&amp;" AB Equity","LOW_30D")</f>
        <v>9.5399999999999991</v>
      </c>
      <c r="V114" s="11" t="str" cm="1">
        <f t="array" aca="1" ref="V114" ca="1">_xll.BDH(A114&amp;" AB Equity","MOV_AVG_200D",TODAY()-32,TODAY()-32,"Days=T")</f>
        <v>#N/A N/A</v>
      </c>
      <c r="W114">
        <v>9.2704000000000004</v>
      </c>
      <c r="X114">
        <f>IF(B114="","",_xlfn.SINGLE(_xll.BDP(A114&amp;" AB Equity","MOV_AVG_200D")))</f>
        <v>9.4372500000000006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22.22</v>
      </c>
      <c r="C116">
        <f>_xll.BDP(A116&amp;" AB Equity","LAST_PRICE")</f>
        <v>22.22</v>
      </c>
      <c r="D116">
        <f>_xll.BDP(A116&amp;" AB Equity","RT_PX_CHG_PCT_1D")</f>
        <v>0.81669998168945313</v>
      </c>
      <c r="E116">
        <f>_xll.BDP(A116&amp;" AB Equity","CHG_PCT_1M_RT")</f>
        <v>-3.6427</v>
      </c>
      <c r="F116">
        <f>_xll.BDP(A116&amp;" AB Equity","CHG_PCT_YTD_RT")</f>
        <v>-13.540900000000001</v>
      </c>
      <c r="G116">
        <f>_xll.BDP(A116&amp;" AB Equity","YEST_LAST_TRADE")</f>
        <v>22.04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361514</v>
      </c>
      <c r="K116">
        <f>_xll.BDP(A116&amp;" AB Equity","OPEN")</f>
        <v>22.04</v>
      </c>
      <c r="L116">
        <f>_xll.BDP(A116&amp;" AB Equity","LOW")</f>
        <v>21.88</v>
      </c>
      <c r="M116">
        <f>_xll.BDP(A116&amp;" AB Equity","HIGH")</f>
        <v>22.26</v>
      </c>
      <c r="N116">
        <f>_xll.BDP(A116&amp;" AB Equity","VWAP")</f>
        <v>22.074300000000001</v>
      </c>
      <c r="O116" t="str">
        <f>_xll.BDP(A116&amp;" AB Equity","SAUDI_ARABIA_EXCHANGE_ID")</f>
        <v>4084</v>
      </c>
      <c r="P116">
        <f>_xll.BDP(A116&amp;" AB Equity","VOLUME_AVG_30D")</f>
        <v>395556.3</v>
      </c>
      <c r="Q116">
        <f>_xll.BDP(A116&amp;" AB Equity","BID")</f>
        <v>22.15</v>
      </c>
      <c r="R116">
        <f>_xll.BDP(A116&amp;" AB Equity","ASK")</f>
        <v>22.22</v>
      </c>
      <c r="S116">
        <f>_xll.BDP(A116&amp;" AB Equity","CHG_PCT_MOV_AVG_200D")</f>
        <v>-13.508039999999999</v>
      </c>
      <c r="T116">
        <f>_xll.BDP(A116&amp;" AB Equity","HIGH_30D")</f>
        <v>23.74</v>
      </c>
      <c r="U116">
        <f>_xll.BDP(A116&amp;" AB Equity","LOW_30D")</f>
        <v>21.92</v>
      </c>
      <c r="V116" s="11" t="str" cm="1">
        <f t="array" aca="1" ref="V116" ca="1">_xll.BDH(A116&amp;" AB Equity","MOV_AVG_200D",TODAY()-32,TODAY()-32,"Days=T")</f>
        <v>#N/A N/A</v>
      </c>
      <c r="W116">
        <v>9.2786000000000008</v>
      </c>
      <c r="X116">
        <f>IF(B116="","",_xlfn.SINGLE(_xll.BDP(A116&amp;" AB Equity","MOV_AVG_200D")))</f>
        <v>25.44745</v>
      </c>
    </row>
    <row r="117" spans="1:24" x14ac:dyDescent="0.25">
      <c r="A117" t="s">
        <v>126</v>
      </c>
      <c r="B117">
        <f>_xll.BDP(A117&amp;" AB Equity","LAST_PRICE")</f>
        <v>17.100000000000001</v>
      </c>
      <c r="C117">
        <f>_xll.BDP(A117&amp;" AB Equity","LAST_PRICE")</f>
        <v>17.100000000000001</v>
      </c>
      <c r="D117">
        <f>_xll.BDP(A117&amp;" AB Equity","RT_PX_CHG_PCT_1D")</f>
        <v>6.875</v>
      </c>
      <c r="E117">
        <f>_xll.BDP(A117&amp;" AB Equity","CHG_PCT_1M_RT")</f>
        <v>0.88500000000000001</v>
      </c>
      <c r="F117">
        <f>_xll.BDP(A117&amp;" AB Equity","CHG_PCT_YTD_RT")</f>
        <v>1.0041</v>
      </c>
      <c r="G117">
        <f>_xll.BDP(A117&amp;" AB Equity","YEST_LAST_TRADE")</f>
        <v>16</v>
      </c>
      <c r="H117">
        <f>_xll.BDP(A117&amp;" AB Equity","HIGH_52WEEK")</f>
        <v>29.18</v>
      </c>
      <c r="I117">
        <f>_xll.BDP(A117&amp;" AB Equity","LOW_52WEEK")</f>
        <v>13.5</v>
      </c>
      <c r="J117">
        <f>_xll.BDP(A117&amp;" AB Equity","VOLUME")</f>
        <v>1354972</v>
      </c>
      <c r="K117">
        <f>_xll.BDP(A117&amp;" AB Equity","OPEN")</f>
        <v>16.12</v>
      </c>
      <c r="L117">
        <f>_xll.BDP(A117&amp;" AB Equity","LOW")</f>
        <v>16.100000000000001</v>
      </c>
      <c r="M117">
        <f>_xll.BDP(A117&amp;" AB Equity","HIGH")</f>
        <v>17.29</v>
      </c>
      <c r="N117">
        <f>_xll.BDP(A117&amp;" AB Equity","VWAP")</f>
        <v>16.945</v>
      </c>
      <c r="O117" t="str">
        <f>_xll.BDP(A117&amp;" AB Equity","SAUDI_ARABIA_EXCHANGE_ID")</f>
        <v>2120</v>
      </c>
      <c r="P117">
        <f>_xll.BDP(A117&amp;" AB Equity","VOLUME_AVG_30D")</f>
        <v>233989.3</v>
      </c>
      <c r="Q117">
        <f>_xll.BDP(A117&amp;" AB Equity","BID")</f>
        <v>17.100000000000001</v>
      </c>
      <c r="R117">
        <f>_xll.BDP(A117&amp;" AB Equity","ASK")</f>
        <v>17.149999999999999</v>
      </c>
      <c r="S117">
        <f>_xll.BDP(A117&amp;" AB Equity","CHG_PCT_MOV_AVG_200D")</f>
        <v>-9.4003829999999997</v>
      </c>
      <c r="T117">
        <f>_xll.BDP(A117&amp;" AB Equity","HIGH_30D")</f>
        <v>17.600000000000001</v>
      </c>
      <c r="U117">
        <f>_xll.BDP(A117&amp;" AB Equity","LOW_30D")</f>
        <v>15.75</v>
      </c>
      <c r="V117" s="11" t="str" cm="1">
        <f t="array" aca="1" ref="V117" ca="1">_xll.BDH(A117&amp;" AB Equity","MOV_AVG_200D",TODAY()-32,TODAY()-32,"Days=T")</f>
        <v>#N/A N/A</v>
      </c>
      <c r="W117">
        <v>9.2827000000000002</v>
      </c>
      <c r="X117">
        <f>IF(B117="","",_xlfn.SINGLE(_xll.BDP(A117&amp;" AB Equity","MOV_AVG_200D")))</f>
        <v>18.609349999999999</v>
      </c>
    </row>
    <row r="118" spans="1:24" x14ac:dyDescent="0.25">
      <c r="A118" t="s">
        <v>127</v>
      </c>
      <c r="B118">
        <f>_xll.BDP(A118&amp;" AB Equity","LAST_PRICE")</f>
        <v>14.96</v>
      </c>
      <c r="C118">
        <f>_xll.BDP(A118&amp;" AB Equity","LAST_PRICE")</f>
        <v>14.96</v>
      </c>
      <c r="D118">
        <f>_xll.BDP(A118&amp;" AB Equity","RT_PX_CHG_PCT_1D")</f>
        <v>-6.679999828338623E-2</v>
      </c>
      <c r="E118">
        <f>_xll.BDP(A118&amp;" AB Equity","CHG_PCT_1M_RT")</f>
        <v>-1.8372999999999999</v>
      </c>
      <c r="F118">
        <f>_xll.BDP(A118&amp;" AB Equity","CHG_PCT_YTD_RT")</f>
        <v>-9.4430999999999994</v>
      </c>
      <c r="G118">
        <f>_xll.BDP(A118&amp;" AB Equity","YEST_LAST_TRADE")</f>
        <v>14.97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24509</v>
      </c>
      <c r="K118">
        <f>_xll.BDP(A118&amp;" AB Equity","OPEN")</f>
        <v>14.97</v>
      </c>
      <c r="L118">
        <f>_xll.BDP(A118&amp;" AB Equity","LOW")</f>
        <v>14.96</v>
      </c>
      <c r="M118">
        <f>_xll.BDP(A118&amp;" AB Equity","HIGH")</f>
        <v>15.17</v>
      </c>
      <c r="N118">
        <f>_xll.BDP(A118&amp;" AB Equity","VWAP")</f>
        <v>15.0578</v>
      </c>
      <c r="O118" t="str">
        <f>_xll.BDP(A118&amp;" AB Equity","SAUDI_ARABIA_EXCHANGE_ID")</f>
        <v>1183</v>
      </c>
      <c r="P118">
        <f>_xll.BDP(A118&amp;" AB Equity","VOLUME_AVG_30D")</f>
        <v>56781.9</v>
      </c>
      <c r="Q118">
        <f>_xll.BDP(A118&amp;" AB Equity","BID")</f>
        <v>14.95</v>
      </c>
      <c r="R118">
        <f>_xll.BDP(A118&amp;" AB Equity","ASK")</f>
        <v>14.96</v>
      </c>
      <c r="S118">
        <f>_xll.BDP(A118&amp;" AB Equity","CHG_PCT_MOV_AVG_200D")</f>
        <v>-12.88054</v>
      </c>
      <c r="T118">
        <f>_xll.BDP(A118&amp;" AB Equity","HIGH_30D")</f>
        <v>15.98</v>
      </c>
      <c r="U118">
        <f>_xll.BDP(A118&amp;" AB Equity","LOW_30D")</f>
        <v>14.8</v>
      </c>
      <c r="V118" s="11" t="str" cm="1">
        <f t="array" aca="1" ref="V118" ca="1">_xll.BDH(A118&amp;" AB Equity","MOV_AVG_200D",TODAY()-32,TODAY()-32,"Days=T")</f>
        <v>#N/A N/A</v>
      </c>
      <c r="W118">
        <v>9.2859999999999996</v>
      </c>
      <c r="X118">
        <f>IF(B118="","",_xlfn.SINGLE(_xll.BDP(A118&amp;" AB Equity","MOV_AVG_200D")))</f>
        <v>17.263649999999998</v>
      </c>
    </row>
    <row r="119" spans="1:24" x14ac:dyDescent="0.25">
      <c r="A119" t="s">
        <v>128</v>
      </c>
      <c r="B119">
        <f>_xll.BDP(A119&amp;" AB Equity","LAST_PRICE")</f>
        <v>35.32</v>
      </c>
      <c r="C119">
        <f>_xll.BDP(A119&amp;" AB Equity","LAST_PRICE")</f>
        <v>35.32</v>
      </c>
      <c r="D119">
        <f>_xll.BDP(A119&amp;" AB Equity","RT_PX_CHG_PCT_1D")</f>
        <v>0</v>
      </c>
      <c r="E119">
        <f>_xll.BDP(A119&amp;" AB Equity","CHG_PCT_1M_RT")</f>
        <v>-11.2117</v>
      </c>
      <c r="F119">
        <f>_xll.BDP(A119&amp;" AB Equity","CHG_PCT_YTD_RT")</f>
        <v>-34.331099999999999</v>
      </c>
      <c r="G119">
        <f>_xll.BDP(A119&amp;" AB Equity","YEST_LAST_TRADE")</f>
        <v>35.32</v>
      </c>
      <c r="H119">
        <f>_xll.BDP(A119&amp;" AB Equity","HIGH_52WEEK")</f>
        <v>62.118000000000002</v>
      </c>
      <c r="I119">
        <f>_xll.BDP(A119&amp;" AB Equity","LOW_52WEEK")</f>
        <v>35.26</v>
      </c>
      <c r="J119">
        <f>_xll.BDP(A119&amp;" AB Equity","VOLUME")</f>
        <v>220744</v>
      </c>
      <c r="K119">
        <f>_xll.BDP(A119&amp;" AB Equity","OPEN")</f>
        <v>35.44</v>
      </c>
      <c r="L119">
        <f>_xll.BDP(A119&amp;" AB Equity","LOW")</f>
        <v>35.26</v>
      </c>
      <c r="M119">
        <f>_xll.BDP(A119&amp;" AB Equity","HIGH")</f>
        <v>36.1</v>
      </c>
      <c r="N119">
        <f>_xll.BDP(A119&amp;" AB Equity","VWAP")</f>
        <v>35.665999999999997</v>
      </c>
      <c r="O119" t="str">
        <f>_xll.BDP(A119&amp;" AB Equity","SAUDI_ARABIA_EXCHANGE_ID")</f>
        <v>4083</v>
      </c>
      <c r="P119">
        <f>_xll.BDP(A119&amp;" AB Equity","VOLUME_AVG_30D")</f>
        <v>449564.5</v>
      </c>
      <c r="Q119">
        <f>_xll.BDP(A119&amp;" AB Equity","BID")</f>
        <v>35.32</v>
      </c>
      <c r="R119">
        <f>_xll.BDP(A119&amp;" AB Equity","ASK")</f>
        <v>35.56</v>
      </c>
      <c r="S119">
        <f>_xll.BDP(A119&amp;" AB Equity","CHG_PCT_MOV_AVG_200D")</f>
        <v>-28.032409999999999</v>
      </c>
      <c r="T119">
        <f>_xll.BDP(A119&amp;" AB Equity","HIGH_30D")</f>
        <v>46.9</v>
      </c>
      <c r="U119">
        <f>_xll.BDP(A119&amp;" AB Equity","LOW_30D")</f>
        <v>35.28</v>
      </c>
      <c r="V119" s="11" t="str" cm="1">
        <f t="array" aca="1" ref="V119" ca="1">_xll.BDH(A119&amp;" AB Equity","MOV_AVG_200D",TODAY()-32,TODAY()-32,"Days=T")</f>
        <v>#N/A N/A</v>
      </c>
      <c r="W119">
        <v>9.2893000000000008</v>
      </c>
      <c r="X119">
        <f>IF(B119="","",_xlfn.SINGLE(_xll.BDP(A119&amp;" AB Equity","MOV_AVG_200D")))</f>
        <v>50.02252</v>
      </c>
    </row>
    <row r="120" spans="1:24" x14ac:dyDescent="0.25">
      <c r="A120" t="s">
        <v>129</v>
      </c>
      <c r="B120">
        <f>_xll.BDP(A120&amp;" AB Equity","LAST_PRICE")</f>
        <v>132.30000000000001</v>
      </c>
      <c r="C120">
        <f>_xll.BDP(A120&amp;" AB Equity","LAST_PRICE")</f>
        <v>132.30000000000001</v>
      </c>
      <c r="D120">
        <f>_xll.BDP(A120&amp;" AB Equity","RT_PX_CHG_PCT_1D")</f>
        <v>-0.45149999856948853</v>
      </c>
      <c r="E120">
        <f>_xll.BDP(A120&amp;" AB Equity","CHG_PCT_1M_RT")</f>
        <v>-4.8201000000000001</v>
      </c>
      <c r="F120">
        <f>_xll.BDP(A120&amp;" AB Equity","CHG_PCT_YTD_RT")</f>
        <v>-5.7020999999999997</v>
      </c>
      <c r="G120">
        <f>_xll.BDP(A120&amp;" AB Equity","YEST_LAST_TRADE")</f>
        <v>132.9</v>
      </c>
      <c r="H120">
        <f>_xll.BDP(A120&amp;" AB Equity","HIGH_52WEEK")</f>
        <v>215</v>
      </c>
      <c r="I120">
        <f>_xll.BDP(A120&amp;" AB Equity","LOW_52WEEK")</f>
        <v>126</v>
      </c>
      <c r="J120">
        <f>_xll.BDP(A120&amp;" AB Equity","VOLUME")</f>
        <v>216636</v>
      </c>
      <c r="K120">
        <f>_xll.BDP(A120&amp;" AB Equity","OPEN")</f>
        <v>132.5</v>
      </c>
      <c r="L120">
        <f>_xll.BDP(A120&amp;" AB Equity","LOW")</f>
        <v>131.6</v>
      </c>
      <c r="M120">
        <f>_xll.BDP(A120&amp;" AB Equity","HIGH")</f>
        <v>133.30000000000001</v>
      </c>
      <c r="N120">
        <f>_xll.BDP(A120&amp;" AB Equity","VWAP")</f>
        <v>132.37450000000001</v>
      </c>
      <c r="O120" t="str">
        <f>_xll.BDP(A120&amp;" AB Equity","SAUDI_ARABIA_EXCHANGE_ID")</f>
        <v>1111</v>
      </c>
      <c r="P120">
        <f>_xll.BDP(A120&amp;" AB Equity","VOLUME_AVG_30D")</f>
        <v>220616.7</v>
      </c>
      <c r="Q120">
        <f>_xll.BDP(A120&amp;" AB Equity","BID")</f>
        <v>132.30000000000001</v>
      </c>
      <c r="R120">
        <f>_xll.BDP(A120&amp;" AB Equity","ASK")</f>
        <v>132.5</v>
      </c>
      <c r="S120">
        <f>_xll.BDP(A120&amp;" AB Equity","CHG_PCT_MOV_AVG_200D")</f>
        <v>-16.266960000000001</v>
      </c>
      <c r="T120">
        <f>_xll.BDP(A120&amp;" AB Equity","HIGH_30D")</f>
        <v>143.30000000000001</v>
      </c>
      <c r="U120">
        <f>_xll.BDP(A120&amp;" AB Equity","LOW_30D")</f>
        <v>132.19999999999999</v>
      </c>
      <c r="V120" s="11" t="str" cm="1">
        <f t="array" aca="1" ref="V120" ca="1">_xll.BDH(A120&amp;" AB Equity","MOV_AVG_200D",TODAY()-32,TODAY()-32,"Days=T")</f>
        <v>#N/A N/A</v>
      </c>
      <c r="W120">
        <v>20.929200000000002</v>
      </c>
      <c r="X120">
        <f>IF(B120="","",_xlfn.SINGLE(_xll.BDP(A120&amp;" AB Equity","MOV_AVG_200D")))</f>
        <v>158.24100000000001</v>
      </c>
    </row>
    <row r="121" spans="1:24" x14ac:dyDescent="0.25">
      <c r="A121" t="s">
        <v>130</v>
      </c>
      <c r="B121">
        <f>_xll.BDP(A121&amp;" AB Equity","LAST_PRICE")</f>
        <v>9.93</v>
      </c>
      <c r="C121">
        <f>_xll.BDP(A121&amp;" AB Equity","LAST_PRICE")</f>
        <v>9.93</v>
      </c>
      <c r="D121">
        <f>_xll.BDP(A121&amp;" AB Equity","RT_PX_CHG_PCT_1D")</f>
        <v>0.70990002155303955</v>
      </c>
      <c r="E121">
        <f>_xll.BDP(A121&amp;" AB Equity","CHG_PCT_1M_RT")</f>
        <v>1.1202000000000001</v>
      </c>
      <c r="F121">
        <f>_xll.BDP(A121&amp;" AB Equity","CHG_PCT_YTD_RT")</f>
        <v>-18.338799999999999</v>
      </c>
      <c r="G121">
        <f>_xll.BDP(A121&amp;" AB Equity","YEST_LAST_TRADE")</f>
        <v>9.86</v>
      </c>
      <c r="H121">
        <f>_xll.BDP(A121&amp;" AB Equity","HIGH_52WEEK")</f>
        <v>14.18</v>
      </c>
      <c r="I121">
        <f>_xll.BDP(A121&amp;" AB Equity","LOW_52WEEK")</f>
        <v>9.68</v>
      </c>
      <c r="J121">
        <f>_xll.BDP(A121&amp;" AB Equity","VOLUME")</f>
        <v>214513</v>
      </c>
      <c r="K121">
        <f>_xll.BDP(A121&amp;" AB Equity","OPEN")</f>
        <v>9.86</v>
      </c>
      <c r="L121">
        <f>_xll.BDP(A121&amp;" AB Equity","LOW")</f>
        <v>9.86</v>
      </c>
      <c r="M121">
        <f>_xll.BDP(A121&amp;" AB Equity","HIGH")</f>
        <v>10</v>
      </c>
      <c r="N121">
        <f>_xll.BDP(A121&amp;" AB Equity","VWAP")</f>
        <v>9.9263999999999992</v>
      </c>
      <c r="O121" t="str">
        <f>_xll.BDP(A121&amp;" AB Equity","SAUDI_ARABIA_EXCHANGE_ID")</f>
        <v>4081</v>
      </c>
      <c r="P121">
        <f>_xll.BDP(A121&amp;" AB Equity","VOLUME_AVG_30D")</f>
        <v>109384.9</v>
      </c>
      <c r="Q121">
        <f>_xll.BDP(A121&amp;" AB Equity","BID")</f>
        <v>9.91</v>
      </c>
      <c r="R121">
        <f>_xll.BDP(A121&amp;" AB Equity","ASK")</f>
        <v>9.93</v>
      </c>
      <c r="S121">
        <f>_xll.BDP(A121&amp;" AB Equity","CHG_PCT_MOV_AVG_200D")</f>
        <v>-14.25915</v>
      </c>
      <c r="T121">
        <f>_xll.BDP(A121&amp;" AB Equity","HIGH_30D")</f>
        <v>10.08</v>
      </c>
      <c r="U121">
        <f>_xll.BDP(A121&amp;" AB Equity","LOW_30D")</f>
        <v>9.68</v>
      </c>
      <c r="V121" s="11" t="str" cm="1">
        <f t="array" aca="1" ref="V121" ca="1">_xll.BDH(A121&amp;" AB Equity","MOV_AVG_200D",TODAY()-32,TODAY()-32,"Days=T")</f>
        <v>#N/A N/A</v>
      </c>
      <c r="W121">
        <v>20.877700000000001</v>
      </c>
      <c r="X121">
        <f>IF(B121="","",_xlfn.SINGLE(_xll.BDP(A121&amp;" AB Equity","MOV_AVG_200D")))</f>
        <v>11.616400000000001</v>
      </c>
    </row>
    <row r="122" spans="1:24" x14ac:dyDescent="0.25">
      <c r="A122" t="s">
        <v>131</v>
      </c>
      <c r="B122">
        <f>_xll.BDP(A122&amp;" AB Equity","LAST_PRICE")</f>
        <v>8.86</v>
      </c>
      <c r="C122">
        <f>_xll.BDP(A122&amp;" AB Equity","LAST_PRICE")</f>
        <v>8.86</v>
      </c>
      <c r="D122">
        <f>_xll.BDP(A122&amp;" AB Equity","RT_PX_CHG_PCT_1D")</f>
        <v>0.45350000262260437</v>
      </c>
      <c r="E122">
        <f>_xll.BDP(A122&amp;" AB Equity","CHG_PCT_1M_RT")</f>
        <v>-9.5917999999999992</v>
      </c>
      <c r="F122">
        <f>_xll.BDP(A122&amp;" AB Equity","CHG_PCT_YTD_RT")</f>
        <v>-16.336200000000002</v>
      </c>
      <c r="G122">
        <f>_xll.BDP(A122&amp;" AB Equity","YEST_LAST_TRADE")</f>
        <v>8.82</v>
      </c>
      <c r="H122">
        <f>_xll.BDP(A122&amp;" AB Equity","HIGH_52WEEK")</f>
        <v>13.9</v>
      </c>
      <c r="I122">
        <f>_xll.BDP(A122&amp;" AB Equity","LOW_52WEEK")</f>
        <v>8.76</v>
      </c>
      <c r="J122">
        <f>_xll.BDP(A122&amp;" AB Equity","VOLUME")</f>
        <v>118374</v>
      </c>
      <c r="K122">
        <f>_xll.BDP(A122&amp;" AB Equity","OPEN")</f>
        <v>8.82</v>
      </c>
      <c r="L122">
        <f>_xll.BDP(A122&amp;" AB Equity","LOW")</f>
        <v>8.76</v>
      </c>
      <c r="M122">
        <f>_xll.BDP(A122&amp;" AB Equity","HIGH")</f>
        <v>8.8800000000000008</v>
      </c>
      <c r="N122">
        <f>_xll.BDP(A122&amp;" AB Equity","VWAP")</f>
        <v>8.8463999999999992</v>
      </c>
      <c r="O122" t="str">
        <f>_xll.BDP(A122&amp;" AB Equity","SAUDI_ARABIA_EXCHANGE_ID")</f>
        <v>1182</v>
      </c>
      <c r="P122">
        <f>_xll.BDP(A122&amp;" AB Equity","VOLUME_AVG_30D")</f>
        <v>389779.6</v>
      </c>
      <c r="Q122">
        <f>_xll.BDP(A122&amp;" AB Equity","BID")</f>
        <v>8.82</v>
      </c>
      <c r="R122">
        <f>_xll.BDP(A122&amp;" AB Equity","ASK")</f>
        <v>8.86</v>
      </c>
      <c r="S122">
        <f>_xll.BDP(A122&amp;" AB Equity","CHG_PCT_MOV_AVG_200D")</f>
        <v>-20.631720000000001</v>
      </c>
      <c r="T122">
        <f>_xll.BDP(A122&amp;" AB Equity","HIGH_30D")</f>
        <v>10.41</v>
      </c>
      <c r="U122">
        <f>_xll.BDP(A122&amp;" AB Equity","LOW_30D")</f>
        <v>8.8000000000000007</v>
      </c>
      <c r="V122" s="11" t="str" cm="1">
        <f t="array" aca="1" ref="V122" ca="1">_xll.BDH(A122&amp;" AB Equity","MOV_AVG_200D",TODAY()-32,TODAY()-32,"Days=T")</f>
        <v>#N/A N/A</v>
      </c>
      <c r="W122">
        <v>20.8248</v>
      </c>
      <c r="X122">
        <f>IF(B122="","",_xlfn.SINGLE(_xll.BDP(A122&amp;" AB Equity","MOV_AVG_200D")))</f>
        <v>11.16315</v>
      </c>
    </row>
    <row r="123" spans="1:24" x14ac:dyDescent="0.25">
      <c r="A123" t="s">
        <v>132</v>
      </c>
      <c r="B123">
        <f>_xll.BDP(A123&amp;" AB Equity","LAST_PRICE")</f>
        <v>2.29</v>
      </c>
      <c r="C123">
        <f>_xll.BDP(A123&amp;" AB Equity","LAST_PRICE")</f>
        <v>2.29</v>
      </c>
      <c r="D123">
        <f>_xll.BDP(A123&amp;" AB Equity","RT_PX_CHG_PCT_1D")</f>
        <v>3.1531999111175537</v>
      </c>
      <c r="E123">
        <f>_xll.BDP(A123&amp;" AB Equity","CHG_PCT_1M_RT")</f>
        <v>9.0475999999999992</v>
      </c>
      <c r="F123">
        <f>_xll.BDP(A123&amp;" AB Equity","CHG_PCT_YTD_RT")</f>
        <v>4.0909000000000004</v>
      </c>
      <c r="G123">
        <f>_xll.BDP(A123&amp;" AB Equity","YEST_LAST_TRADE")</f>
        <v>2.2200000000000002</v>
      </c>
      <c r="H123">
        <f>_xll.BDP(A123&amp;" AB Equity","HIGH_52WEEK")</f>
        <v>3.69</v>
      </c>
      <c r="I123">
        <f>_xll.BDP(A123&amp;" AB Equity","LOW_52WEEK")</f>
        <v>1.87</v>
      </c>
      <c r="J123">
        <f>_xll.BDP(A123&amp;" AB Equity","VOLUME")</f>
        <v>24580522</v>
      </c>
      <c r="K123">
        <f>_xll.BDP(A123&amp;" AB Equity","OPEN")</f>
        <v>2.23</v>
      </c>
      <c r="L123">
        <f>_xll.BDP(A123&amp;" AB Equity","LOW")</f>
        <v>2.1800000000000002</v>
      </c>
      <c r="M123">
        <f>_xll.BDP(A123&amp;" AB Equity","HIGH")</f>
        <v>2.2999999999999998</v>
      </c>
      <c r="N123">
        <f>_xll.BDP(A123&amp;" AB Equity","VWAP")</f>
        <v>2.2408999999999999</v>
      </c>
      <c r="O123" t="str">
        <f>_xll.BDP(A123&amp;" AB Equity","SAUDI_ARABIA_EXCHANGE_ID")</f>
        <v>4130</v>
      </c>
      <c r="P123">
        <f>_xll.BDP(A123&amp;" AB Equity","VOLUME_AVG_30D")</f>
        <v>4036485</v>
      </c>
      <c r="Q123">
        <f>_xll.BDP(A123&amp;" AB Equity","BID")</f>
        <v>2.2799999999999998</v>
      </c>
      <c r="R123">
        <f>_xll.BDP(A123&amp;" AB Equity","ASK")</f>
        <v>2.29</v>
      </c>
      <c r="S123">
        <f>_xll.BDP(A123&amp;" AB Equity","CHG_PCT_MOV_AVG_200D")</f>
        <v>-7.2721450000000001</v>
      </c>
      <c r="T123">
        <f>_xll.BDP(A123&amp;" AB Equity","HIGH_30D")</f>
        <v>2.2400000000000002</v>
      </c>
      <c r="U123">
        <f>_xll.BDP(A123&amp;" AB Equity","LOW_30D")</f>
        <v>2.04</v>
      </c>
      <c r="V123" s="11" t="str" cm="1">
        <f t="array" aca="1" ref="V123" ca="1">_xll.BDH(A123&amp;" AB Equity","MOV_AVG_200D",TODAY()-32,TODAY()-32,"Days=T")</f>
        <v>#N/A N/A</v>
      </c>
      <c r="W123">
        <v>18.7789</v>
      </c>
      <c r="X123">
        <f>IF(B123="","",_xlfn.SINGLE(_xll.BDP(A123&amp;" AB Equity","MOV_AVG_200D")))</f>
        <v>2.3617499999999998</v>
      </c>
    </row>
    <row r="124" spans="1:24" x14ac:dyDescent="0.25">
      <c r="A124" t="s">
        <v>133</v>
      </c>
      <c r="B124">
        <f>_xll.BDP(A124&amp;" AB Equity","LAST_PRICE")</f>
        <v>7.64</v>
      </c>
      <c r="C124">
        <f>_xll.BDP(A124&amp;" AB Equity","LAST_PRICE")</f>
        <v>7.64</v>
      </c>
      <c r="D124">
        <f>_xll.BDP(A124&amp;" AB Equity","RT_PX_CHG_PCT_1D")</f>
        <v>2.0027000904083252</v>
      </c>
      <c r="E124">
        <f>_xll.BDP(A124&amp;" AB Equity","CHG_PCT_1M_RT")</f>
        <v>-4.9751000000000003</v>
      </c>
      <c r="F124">
        <f>_xll.BDP(A124&amp;" AB Equity","CHG_PCT_YTD_RT")</f>
        <v>-20.911000000000001</v>
      </c>
      <c r="G124">
        <f>_xll.BDP(A124&amp;" AB Equity","YEST_LAST_TRADE")</f>
        <v>7.49</v>
      </c>
      <c r="H124">
        <f>_xll.BDP(A124&amp;" AB Equity","HIGH_52WEEK")</f>
        <v>12.73</v>
      </c>
      <c r="I124">
        <f>_xll.BDP(A124&amp;" AB Equity","LOW_52WEEK")</f>
        <v>7.36</v>
      </c>
      <c r="J124">
        <f>_xll.BDP(A124&amp;" AB Equity","VOLUME")</f>
        <v>73796</v>
      </c>
      <c r="K124">
        <f>_xll.BDP(A124&amp;" AB Equity","OPEN")</f>
        <v>7.5</v>
      </c>
      <c r="L124">
        <f>_xll.BDP(A124&amp;" AB Equity","LOW")</f>
        <v>7.5</v>
      </c>
      <c r="M124">
        <f>_xll.BDP(A124&amp;" AB Equity","HIGH")</f>
        <v>7.7</v>
      </c>
      <c r="N124">
        <f>_xll.BDP(A124&amp;" AB Equity","VWAP")</f>
        <v>7.6360000000000001</v>
      </c>
      <c r="O124" t="str">
        <f>_xll.BDP(A124&amp;" AB Equity","SAUDI_ARABIA_EXCHANGE_ID")</f>
        <v>4082</v>
      </c>
      <c r="P124">
        <f>_xll.BDP(A124&amp;" AB Equity","VOLUME_AVG_30D")</f>
        <v>80596.899999999994</v>
      </c>
      <c r="Q124">
        <f>_xll.BDP(A124&amp;" AB Equity","BID")</f>
        <v>7.63</v>
      </c>
      <c r="R124">
        <f>_xll.BDP(A124&amp;" AB Equity","ASK")</f>
        <v>7.64</v>
      </c>
      <c r="S124">
        <f>_xll.BDP(A124&amp;" AB Equity","CHG_PCT_MOV_AVG_200D")</f>
        <v>-18.925789999999999</v>
      </c>
      <c r="T124">
        <f>_xll.BDP(A124&amp;" AB Equity","HIGH_30D")</f>
        <v>8.24</v>
      </c>
      <c r="U124">
        <f>_xll.BDP(A124&amp;" AB Equity","LOW_30D")</f>
        <v>7.36</v>
      </c>
      <c r="V124" s="11" t="str" cm="1">
        <f t="array" aca="1" ref="V124" ca="1">_xll.BDH(A124&amp;" AB Equity","MOV_AVG_200D",TODAY()-32,TODAY()-32,"Days=T")</f>
        <v>#N/A N/A</v>
      </c>
      <c r="W124">
        <v>53.406399999999998</v>
      </c>
      <c r="X124">
        <f>IF(B124="","",_xlfn.SINGLE(_xll.BDP(A124&amp;" AB Equity","MOV_AVG_200D")))</f>
        <v>9.4358000000000004</v>
      </c>
    </row>
    <row r="125" spans="1:24" x14ac:dyDescent="0.25">
      <c r="A125" t="s">
        <v>134</v>
      </c>
      <c r="B125">
        <f>_xll.BDP(A125&amp;" AB Equity","LAST_PRICE")</f>
        <v>11.62</v>
      </c>
      <c r="C125">
        <f>_xll.BDP(A125&amp;" AB Equity","LAST_PRICE")</f>
        <v>11.62</v>
      </c>
      <c r="D125">
        <f>_xll.BDP(A125&amp;" AB Equity","RT_PX_CHG_PCT_1D")</f>
        <v>0.17239999771118164</v>
      </c>
      <c r="E125">
        <f>_xll.BDP(A125&amp;" AB Equity","CHG_PCT_1M_RT")</f>
        <v>-12.467000000000001</v>
      </c>
      <c r="F125">
        <f>_xll.BDP(A125&amp;" AB Equity","CHG_PCT_YTD_RT")</f>
        <v>48.593400000000003</v>
      </c>
      <c r="G125">
        <f>_xll.BDP(A125&amp;" AB Equity","YEST_LAST_TRADE")</f>
        <v>11.6</v>
      </c>
      <c r="H125">
        <f>_xll.BDP(A125&amp;" AB Equity","HIGH_52WEEK")</f>
        <v>15.582000000000001</v>
      </c>
      <c r="I125">
        <f>_xll.BDP(A125&amp;" AB Equity","LOW_52WEEK")</f>
        <v>6.8719999999999999</v>
      </c>
      <c r="J125">
        <f>_xll.BDP(A125&amp;" AB Equity","VOLUME")</f>
        <v>474293</v>
      </c>
      <c r="K125">
        <f>_xll.BDP(A125&amp;" AB Equity","OPEN")</f>
        <v>11.68</v>
      </c>
      <c r="L125">
        <f>_xll.BDP(A125&amp;" AB Equity","LOW")</f>
        <v>11.55</v>
      </c>
      <c r="M125">
        <f>_xll.BDP(A125&amp;" AB Equity","HIGH")</f>
        <v>11.77</v>
      </c>
      <c r="N125">
        <f>_xll.BDP(A125&amp;" AB Equity","VWAP")</f>
        <v>11.6556</v>
      </c>
      <c r="O125" t="str">
        <f>_xll.BDP(A125&amp;" AB Equity","SAUDI_ARABIA_EXCHANGE_ID")</f>
        <v>4280</v>
      </c>
      <c r="P125">
        <f>_xll.BDP(A125&amp;" AB Equity","VOLUME_AVG_30D")</f>
        <v>2567040</v>
      </c>
      <c r="Q125">
        <f>_xll.BDP(A125&amp;" AB Equity","BID")</f>
        <v>11.6</v>
      </c>
      <c r="R125">
        <f>_xll.BDP(A125&amp;" AB Equity","ASK")</f>
        <v>11.62</v>
      </c>
      <c r="S125">
        <f>_xll.BDP(A125&amp;" AB Equity","CHG_PCT_MOV_AVG_200D")</f>
        <v>31.50675</v>
      </c>
      <c r="T125">
        <f>_xll.BDP(A125&amp;" AB Equity","HIGH_30D")</f>
        <v>15.582000000000001</v>
      </c>
      <c r="U125">
        <f>_xll.BDP(A125&amp;" AB Equity","LOW_30D")</f>
        <v>9.9220000000000006</v>
      </c>
      <c r="V125" s="11" t="str" cm="1">
        <f t="array" aca="1" ref="V125" ca="1">_xll.BDH(A125&amp;" AB Equity","MOV_AVG_200D",TODAY()-32,TODAY()-32,"Days=T")</f>
        <v>#N/A N/A</v>
      </c>
      <c r="W125">
        <v>8.1265999999999998</v>
      </c>
      <c r="X125">
        <f>IF(B125="","",_xlfn.SINGLE(_xll.BDP(A125&amp;" AB Equity","MOV_AVG_200D")))</f>
        <v>8.9120899999999992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15.09</v>
      </c>
      <c r="C127">
        <f>_xll.BDP(A127&amp;" AB Equity","LAST_PRICE")</f>
        <v>15.09</v>
      </c>
      <c r="D127">
        <f>_xll.BDP(A127&amp;" AB Equity","RT_PX_CHG_PCT_1D")</f>
        <v>9.9854001998901367</v>
      </c>
      <c r="E127">
        <f>_xll.BDP(A127&amp;" AB Equity","CHG_PCT_1M_RT")</f>
        <v>22.6829</v>
      </c>
      <c r="F127">
        <f>_xll.BDP(A127&amp;" AB Equity","CHG_PCT_YTD_RT")</f>
        <v>9.3477999999999994</v>
      </c>
      <c r="G127">
        <f>_xll.BDP(A127&amp;" AB Equity","YEST_LAST_TRADE")</f>
        <v>13.72</v>
      </c>
      <c r="H127">
        <f>_xll.BDP(A127&amp;" AB Equity","HIGH_52WEEK")</f>
        <v>18.3</v>
      </c>
      <c r="I127">
        <f>_xll.BDP(A127&amp;" AB Equity","LOW_52WEEK")</f>
        <v>11.5</v>
      </c>
      <c r="J127">
        <f>_xll.BDP(A127&amp;" AB Equity","VOLUME")</f>
        <v>1000501</v>
      </c>
      <c r="K127">
        <f>_xll.BDP(A127&amp;" AB Equity","OPEN")</f>
        <v>13.9</v>
      </c>
      <c r="L127">
        <f>_xll.BDP(A127&amp;" AB Equity","LOW")</f>
        <v>13.77</v>
      </c>
      <c r="M127">
        <f>_xll.BDP(A127&amp;" AB Equity","HIGH")</f>
        <v>15.09</v>
      </c>
      <c r="N127">
        <f>_xll.BDP(A127&amp;" AB Equity","VWAP")</f>
        <v>14.736000000000001</v>
      </c>
      <c r="O127" t="str">
        <f>_xll.BDP(A127&amp;" AB Equity","SAUDI_ARABIA_EXCHANGE_ID")</f>
        <v>6060</v>
      </c>
      <c r="P127">
        <f>_xll.BDP(A127&amp;" AB Equity","VOLUME_AVG_30D")</f>
        <v>364215.3</v>
      </c>
      <c r="Q127">
        <f>_xll.BDP(A127&amp;" AB Equity","BID")</f>
        <v>15.09</v>
      </c>
      <c r="R127">
        <f>_xll.BDP(A127&amp;" AB Equity","ASK")</f>
        <v>15.15</v>
      </c>
      <c r="S127">
        <f>_xll.BDP(A127&amp;" AB Equity","CHG_PCT_MOV_AVG_200D")</f>
        <v>7.161117</v>
      </c>
      <c r="T127">
        <f>_xll.BDP(A127&amp;" AB Equity","HIGH_30D")</f>
        <v>14.2</v>
      </c>
      <c r="U127">
        <f>_xll.BDP(A127&amp;" AB Equity","LOW_30D")</f>
        <v>11.95</v>
      </c>
      <c r="V127" s="11" t="str" cm="1">
        <f t="array" aca="1" ref="V127" ca="1">_xll.BDH(A127&amp;" AB Equity","MOV_AVG_200D",TODAY()-32,TODAY()-32,"Days=T")</f>
        <v>#N/A N/A</v>
      </c>
      <c r="W127">
        <v>8.1427999999999994</v>
      </c>
      <c r="X127">
        <f>IF(B127="","",_xlfn.SINGLE(_xll.BDP(A127&amp;" AB Equity","MOV_AVG_200D")))</f>
        <v>14.0816</v>
      </c>
    </row>
    <row r="128" spans="1:24" x14ac:dyDescent="0.25">
      <c r="A128" t="s">
        <v>137</v>
      </c>
      <c r="B128">
        <f>_xll.BDP(A128&amp;" AB Equity","LAST_PRICE")</f>
        <v>11.16</v>
      </c>
      <c r="C128">
        <f>_xll.BDP(A128&amp;" AB Equity","LAST_PRICE")</f>
        <v>11.16</v>
      </c>
      <c r="D128">
        <f>_xll.BDP(A128&amp;" AB Equity","RT_PX_CHG_PCT_1D")</f>
        <v>2.4793000221252441</v>
      </c>
      <c r="E128">
        <f>_xll.BDP(A128&amp;" AB Equity","CHG_PCT_1M_RT")</f>
        <v>1.3624000000000001</v>
      </c>
      <c r="F128">
        <f>_xll.BDP(A128&amp;" AB Equity","CHG_PCT_YTD_RT")</f>
        <v>-12.880599999999999</v>
      </c>
      <c r="G128">
        <f>_xll.BDP(A128&amp;" AB Equity","YEST_LAST_TRADE")</f>
        <v>10.89</v>
      </c>
      <c r="H128">
        <f>_xll.BDP(A128&amp;" AB Equity","HIGH_52WEEK")</f>
        <v>14.6</v>
      </c>
      <c r="I128">
        <f>_xll.BDP(A128&amp;" AB Equity","LOW_52WEEK")</f>
        <v>10.15</v>
      </c>
      <c r="J128">
        <f>_xll.BDP(A128&amp;" AB Equity","VOLUME")</f>
        <v>924562</v>
      </c>
      <c r="K128">
        <f>_xll.BDP(A128&amp;" AB Equity","OPEN")</f>
        <v>10.89</v>
      </c>
      <c r="L128">
        <f>_xll.BDP(A128&amp;" AB Equity","LOW")</f>
        <v>10.89</v>
      </c>
      <c r="M128">
        <f>_xll.BDP(A128&amp;" AB Equity","HIGH")</f>
        <v>11.29</v>
      </c>
      <c r="N128">
        <f>_xll.BDP(A128&amp;" AB Equity","VWAP")</f>
        <v>11.161799999999999</v>
      </c>
      <c r="O128" t="str">
        <f>_xll.BDP(A128&amp;" AB Equity","SAUDI_ARABIA_EXCHANGE_ID")</f>
        <v>2140</v>
      </c>
      <c r="P128">
        <f>_xll.BDP(A128&amp;" AB Equity","VOLUME_AVG_30D")</f>
        <v>216877.1</v>
      </c>
      <c r="Q128">
        <f>_xll.BDP(A128&amp;" AB Equity","BID")</f>
        <v>11.16</v>
      </c>
      <c r="R128">
        <f>_xll.BDP(A128&amp;" AB Equity","ASK")</f>
        <v>11.2</v>
      </c>
      <c r="S128">
        <f>_xll.BDP(A128&amp;" AB Equity","CHG_PCT_MOV_AVG_200D")</f>
        <v>-6.8802820000000002</v>
      </c>
      <c r="T128">
        <f>_xll.BDP(A128&amp;" AB Equity","HIGH_30D")</f>
        <v>11.2</v>
      </c>
      <c r="U128">
        <f>_xll.BDP(A128&amp;" AB Equity","LOW_30D")</f>
        <v>10.6</v>
      </c>
      <c r="V128" s="11" t="str" cm="1">
        <f t="array" aca="1" ref="V128" ca="1">_xll.BDH(A128&amp;" AB Equity","MOV_AVG_200D",TODAY()-32,TODAY()-32,"Days=T")</f>
        <v>#N/A N/A</v>
      </c>
      <c r="W128">
        <v>8.15</v>
      </c>
      <c r="X128">
        <f>IF(B128="","",_xlfn.SINGLE(_xll.BDP(A128&amp;" AB Equity","MOV_AVG_200D")))</f>
        <v>12.00605</v>
      </c>
    </row>
    <row r="129" spans="1:24" x14ac:dyDescent="0.25">
      <c r="A129" t="s">
        <v>138</v>
      </c>
      <c r="B129">
        <f>_xll.BDP(A129&amp;" AB Equity","LAST_PRICE")</f>
        <v>24.59</v>
      </c>
      <c r="C129">
        <f>_xll.BDP(A129&amp;" AB Equity","LAST_PRICE")</f>
        <v>24.59</v>
      </c>
      <c r="D129">
        <f>_xll.BDP(A129&amp;" AB Equity","RT_PX_CHG_PCT_1D")</f>
        <v>1.8219000101089478</v>
      </c>
      <c r="E129">
        <f>_xll.BDP(A129&amp;" AB Equity","CHG_PCT_1M_RT")</f>
        <v>-4.1699000000000002</v>
      </c>
      <c r="F129">
        <f>_xll.BDP(A129&amp;" AB Equity","CHG_PCT_YTD_RT")</f>
        <v>-21.1859</v>
      </c>
      <c r="G129">
        <f>_xll.BDP(A129&amp;" AB Equity","YEST_LAST_TRADE")</f>
        <v>24.15</v>
      </c>
      <c r="H129">
        <f>_xll.BDP(A129&amp;" AB Equity","HIGH_52WEEK")</f>
        <v>45.7</v>
      </c>
      <c r="I129">
        <f>_xll.BDP(A129&amp;" AB Equity","LOW_52WEEK")</f>
        <v>23.7</v>
      </c>
      <c r="J129">
        <f>_xll.BDP(A129&amp;" AB Equity","VOLUME")</f>
        <v>56130</v>
      </c>
      <c r="K129">
        <f>_xll.BDP(A129&amp;" AB Equity","OPEN")</f>
        <v>24.18</v>
      </c>
      <c r="L129">
        <f>_xll.BDP(A129&amp;" AB Equity","LOW")</f>
        <v>24.18</v>
      </c>
      <c r="M129">
        <f>_xll.BDP(A129&amp;" AB Equity","HIGH")</f>
        <v>24.95</v>
      </c>
      <c r="N129">
        <f>_xll.BDP(A129&amp;" AB Equity","VWAP")</f>
        <v>24.708500000000001</v>
      </c>
      <c r="O129" t="str">
        <f>_xll.BDP(A129&amp;" AB Equity","SAUDI_ARABIA_EXCHANGE_ID")</f>
        <v>2287</v>
      </c>
      <c r="P129">
        <f>_xll.BDP(A129&amp;" AB Equity","VOLUME_AVG_30D")</f>
        <v>133649.4</v>
      </c>
      <c r="Q129">
        <f>_xll.BDP(A129&amp;" AB Equity","BID")</f>
        <v>24.59</v>
      </c>
      <c r="R129">
        <f>_xll.BDP(A129&amp;" AB Equity","ASK")</f>
        <v>24.6</v>
      </c>
      <c r="S129">
        <f>_xll.BDP(A129&amp;" AB Equity","CHG_PCT_MOV_AVG_200D")</f>
        <v>-20.497589999999999</v>
      </c>
      <c r="T129">
        <f>_xll.BDP(A129&amp;" AB Equity","HIGH_30D")</f>
        <v>27.1</v>
      </c>
      <c r="U129">
        <f>_xll.BDP(A129&amp;" AB Equity","LOW_30D")</f>
        <v>23.7</v>
      </c>
      <c r="V129" s="11" t="str" cm="1">
        <f t="array" aca="1" ref="V129" ca="1">_xll.BDH(A129&amp;" AB Equity","MOV_AVG_200D",TODAY()-32,TODAY()-32,"Days=T")</f>
        <v>#N/A N/A</v>
      </c>
      <c r="W129">
        <v>8.1575000000000006</v>
      </c>
      <c r="X129">
        <f>IF(B129="","",_xlfn.SINGLE(_xll.BDP(A129&amp;" AB Equity","MOV_AVG_200D")))</f>
        <v>31.206600000000002</v>
      </c>
    </row>
    <row r="130" spans="1:24" x14ac:dyDescent="0.25">
      <c r="A130" t="s">
        <v>139</v>
      </c>
      <c r="B130">
        <f>_xll.BDP(A130&amp;" AB Equity","LAST_PRICE")</f>
        <v>79</v>
      </c>
      <c r="C130">
        <f>_xll.BDP(A130&amp;" AB Equity","LAST_PRICE")</f>
        <v>79</v>
      </c>
      <c r="D130">
        <f>_xll.BDP(A130&amp;" AB Equity","RT_PX_CHG_PCT_1D")</f>
        <v>9.9512996673583984</v>
      </c>
      <c r="E130">
        <f>_xll.BDP(A130&amp;" AB Equity","CHG_PCT_1M_RT")</f>
        <v>101.01779999999999</v>
      </c>
      <c r="F130">
        <f>_xll.BDP(A130&amp;" AB Equity","CHG_PCT_YTD_RT")</f>
        <v>33.108699999999999</v>
      </c>
      <c r="G130">
        <f>_xll.BDP(A130&amp;" AB Equity","YEST_LAST_TRADE")</f>
        <v>71.849999999999994</v>
      </c>
      <c r="H130">
        <f>_xll.BDP(A130&amp;" AB Equity","HIGH_52WEEK")</f>
        <v>107</v>
      </c>
      <c r="I130">
        <f>_xll.BDP(A130&amp;" AB Equity","LOW_52WEEK")</f>
        <v>38.159999999999997</v>
      </c>
      <c r="J130">
        <f>_xll.BDP(A130&amp;" AB Equity","VOLUME")</f>
        <v>545650</v>
      </c>
      <c r="K130">
        <f>_xll.BDP(A130&amp;" AB Equity","OPEN")</f>
        <v>77</v>
      </c>
      <c r="L130">
        <f>_xll.BDP(A130&amp;" AB Equity","LOW")</f>
        <v>75.7</v>
      </c>
      <c r="M130">
        <f>_xll.BDP(A130&amp;" AB Equity","HIGH")</f>
        <v>79</v>
      </c>
      <c r="N130">
        <f>_xll.BDP(A130&amp;" AB Equity","VWAP")</f>
        <v>77.825699999999998</v>
      </c>
      <c r="O130" t="str">
        <f>_xll.BDP(A130&amp;" AB Equity","SAUDI_ARABIA_EXCHANGE_ID")</f>
        <v>6050</v>
      </c>
      <c r="P130">
        <f>_xll.BDP(A130&amp;" AB Equity","VOLUME_AVG_30D")</f>
        <v>326894.3</v>
      </c>
      <c r="Q130">
        <f>_xll.BDP(A130&amp;" AB Equity","BID")</f>
        <v>79</v>
      </c>
      <c r="R130">
        <f>_xll.BDP(A130&amp;" AB Equity","ASK")</f>
        <v>79.95</v>
      </c>
      <c r="S130">
        <f>_xll.BDP(A130&amp;" AB Equity","CHG_PCT_MOV_AVG_200D")</f>
        <v>25.511379999999999</v>
      </c>
      <c r="T130">
        <f>_xll.BDP(A130&amp;" AB Equity","HIGH_30D")</f>
        <v>71.849999999999994</v>
      </c>
      <c r="U130">
        <f>_xll.BDP(A130&amp;" AB Equity","LOW_30D")</f>
        <v>38.159999999999997</v>
      </c>
      <c r="V130" s="11" t="str" cm="1">
        <f t="array" aca="1" ref="V130" ca="1">_xll.BDH(A130&amp;" AB Equity","MOV_AVG_200D",TODAY()-32,TODAY()-32,"Days=T")</f>
        <v>#N/A N/A</v>
      </c>
      <c r="W130">
        <v>8.1670999999999996</v>
      </c>
      <c r="X130">
        <f>IF(B130="","",_xlfn.SINGLE(_xll.BDP(A130&amp;" AB Equity","MOV_AVG_200D")))</f>
        <v>62.942500000000003</v>
      </c>
    </row>
    <row r="131" spans="1:24" x14ac:dyDescent="0.25">
      <c r="A131" t="s">
        <v>140</v>
      </c>
      <c r="B131">
        <f>_xll.BDP(A131&amp;" AB Equity","LAST_PRICE")</f>
        <v>8.85</v>
      </c>
      <c r="C131">
        <f>_xll.BDP(A131&amp;" AB Equity","LAST_PRICE")</f>
        <v>8.85</v>
      </c>
      <c r="D131">
        <f>_xll.BDP(A131&amp;" AB Equity","RT_PX_CHG_PCT_1D")</f>
        <v>1.6073000431060791</v>
      </c>
      <c r="E131">
        <f>_xll.BDP(A131&amp;" AB Equity","CHG_PCT_1M_RT")</f>
        <v>-2.5329999999999999</v>
      </c>
      <c r="F131">
        <f>_xll.BDP(A131&amp;" AB Equity","CHG_PCT_YTD_RT")</f>
        <v>4.3632</v>
      </c>
      <c r="G131">
        <f>_xll.BDP(A131&amp;" AB Equity","YEST_LAST_TRADE")</f>
        <v>8.7100000000000009</v>
      </c>
      <c r="H131">
        <f>_xll.BDP(A131&amp;" AB Equity","HIGH_52WEEK")</f>
        <v>11.8</v>
      </c>
      <c r="I131">
        <f>_xll.BDP(A131&amp;" AB Equity","LOW_52WEEK")</f>
        <v>7.58</v>
      </c>
      <c r="J131">
        <f>_xll.BDP(A131&amp;" AB Equity","VOLUME")</f>
        <v>338351</v>
      </c>
      <c r="K131">
        <f>_xll.BDP(A131&amp;" AB Equity","OPEN")</f>
        <v>8.6</v>
      </c>
      <c r="L131">
        <f>_xll.BDP(A131&amp;" AB Equity","LOW")</f>
        <v>8.6</v>
      </c>
      <c r="M131">
        <f>_xll.BDP(A131&amp;" AB Equity","HIGH")</f>
        <v>9.0399999999999991</v>
      </c>
      <c r="N131">
        <f>_xll.BDP(A131&amp;" AB Equity","VWAP")</f>
        <v>8.8741000000000003</v>
      </c>
      <c r="O131" t="str">
        <f>_xll.BDP(A131&amp;" AB Equity","SAUDI_ARABIA_EXCHANGE_ID")</f>
        <v>4080</v>
      </c>
      <c r="P131">
        <f>_xll.BDP(A131&amp;" AB Equity","VOLUME_AVG_30D")</f>
        <v>102819.8</v>
      </c>
      <c r="Q131">
        <f>_xll.BDP(A131&amp;" AB Equity","BID")</f>
        <v>8.7799999999999994</v>
      </c>
      <c r="R131">
        <f>_xll.BDP(A131&amp;" AB Equity","ASK")</f>
        <v>8.85</v>
      </c>
      <c r="S131">
        <f>_xll.BDP(A131&amp;" AB Equity","CHG_PCT_MOV_AVG_200D")</f>
        <v>-2.0699619999999999</v>
      </c>
      <c r="T131">
        <f>_xll.BDP(A131&amp;" AB Equity","HIGH_30D")</f>
        <v>9.49</v>
      </c>
      <c r="U131">
        <f>_xll.BDP(A131&amp;" AB Equity","LOW_30D")</f>
        <v>8.57</v>
      </c>
      <c r="V131" s="11" t="str" cm="1">
        <f t="array" aca="1" ref="V131" ca="1">_xll.BDH(A131&amp;" AB Equity","MOV_AVG_200D",TODAY()-32,TODAY()-32,"Days=T")</f>
        <v>#N/A N/A</v>
      </c>
      <c r="W131">
        <v>9.6611999999999991</v>
      </c>
      <c r="X131">
        <f>IF(B131="","",_xlfn.SINGLE(_xll.BDP(A131&amp;" AB Equity","MOV_AVG_200D")))</f>
        <v>9.1595999999999993</v>
      </c>
    </row>
    <row r="132" spans="1:24" x14ac:dyDescent="0.25">
      <c r="A132" t="s">
        <v>141</v>
      </c>
      <c r="B132">
        <f>_xll.BDP(A132&amp;" AB Equity","LAST_PRICE")</f>
        <v>4.16</v>
      </c>
      <c r="C132">
        <f>_xll.BDP(A132&amp;" AB Equity","LAST_PRICE")</f>
        <v>4.16</v>
      </c>
      <c r="D132">
        <f>_xll.BDP(A132&amp;" AB Equity","RT_PX_CHG_PCT_1D")</f>
        <v>-0.7160000205039978</v>
      </c>
      <c r="E132">
        <f>_xll.BDP(A132&amp;" AB Equity","CHG_PCT_1M_RT")</f>
        <v>0.97089999999999999</v>
      </c>
      <c r="F132">
        <f>_xll.BDP(A132&amp;" AB Equity","CHG_PCT_YTD_RT")</f>
        <v>17.847000000000001</v>
      </c>
      <c r="G132">
        <f>_xll.BDP(A132&amp;" AB Equity","YEST_LAST_TRADE")</f>
        <v>4.1900000000000004</v>
      </c>
      <c r="H132">
        <f>_xll.BDP(A132&amp;" AB Equity","HIGH_52WEEK")</f>
        <v>4.42</v>
      </c>
      <c r="I132">
        <f>_xll.BDP(A132&amp;" AB Equity","LOW_52WEEK")</f>
        <v>3.45</v>
      </c>
      <c r="J132">
        <f>_xll.BDP(A132&amp;" AB Equity","VOLUME")</f>
        <v>531703</v>
      </c>
      <c r="K132">
        <f>_xll.BDP(A132&amp;" AB Equity","OPEN")</f>
        <v>4.22</v>
      </c>
      <c r="L132">
        <f>_xll.BDP(A132&amp;" AB Equity","LOW")</f>
        <v>4.16</v>
      </c>
      <c r="M132">
        <f>_xll.BDP(A132&amp;" AB Equity","HIGH")</f>
        <v>4.22</v>
      </c>
      <c r="N132">
        <f>_xll.BDP(A132&amp;" AB Equity","VWAP")</f>
        <v>4.1806000000000001</v>
      </c>
      <c r="O132" t="str">
        <f>_xll.BDP(A132&amp;" AB Equity","SAUDI_ARABIA_EXCHANGE_ID")</f>
        <v>2286</v>
      </c>
      <c r="P132">
        <f>_xll.BDP(A132&amp;" AB Equity","VOLUME_AVG_30D")</f>
        <v>1294925</v>
      </c>
      <c r="Q132">
        <f>_xll.BDP(A132&amp;" AB Equity","BID")</f>
        <v>4.16</v>
      </c>
      <c r="R132">
        <f>_xll.BDP(A132&amp;" AB Equity","ASK")</f>
        <v>4.17</v>
      </c>
      <c r="S132">
        <f>_xll.BDP(A132&amp;" AB Equity","CHG_PCT_MOV_AVG_200D")</f>
        <v>9.3610989999999994</v>
      </c>
      <c r="T132">
        <f>_xll.BDP(A132&amp;" AB Equity","HIGH_30D")</f>
        <v>4.42</v>
      </c>
      <c r="U132">
        <f>_xll.BDP(A132&amp;" AB Equity","LOW_30D")</f>
        <v>3.98</v>
      </c>
      <c r="V132" s="11" t="str" cm="1">
        <f t="array" aca="1" ref="V132" ca="1">_xll.BDH(A132&amp;" AB Equity","MOV_AVG_200D",TODAY()-32,TODAY()-32,"Days=T")</f>
        <v>#N/A N/A</v>
      </c>
      <c r="W132">
        <v>3.798</v>
      </c>
      <c r="X132">
        <f>IF(B132="","",_xlfn.SINGLE(_xll.BDP(A132&amp;" AB Equity","MOV_AVG_200D")))</f>
        <v>3.8222</v>
      </c>
    </row>
    <row r="133" spans="1:24" x14ac:dyDescent="0.25">
      <c r="A133" t="s">
        <v>142</v>
      </c>
      <c r="B133">
        <f>_xll.BDP(A133&amp;" AB Equity","LAST_PRICE")</f>
        <v>8.44</v>
      </c>
      <c r="C133">
        <f>_xll.BDP(A133&amp;" AB Equity","LAST_PRICE")</f>
        <v>8.44</v>
      </c>
      <c r="D133">
        <f>_xll.BDP(A133&amp;" AB Equity","RT_PX_CHG_PCT_1D")</f>
        <v>2.6763999462127686</v>
      </c>
      <c r="E133">
        <f>_xll.BDP(A133&amp;" AB Equity","CHG_PCT_1M_RT")</f>
        <v>4.7145999999999999</v>
      </c>
      <c r="F133">
        <f>_xll.BDP(A133&amp;" AB Equity","CHG_PCT_YTD_RT")</f>
        <v>6.2972000000000001</v>
      </c>
      <c r="G133">
        <f>_xll.BDP(A133&amp;" AB Equity","YEST_LAST_TRADE")</f>
        <v>8.2200000000000006</v>
      </c>
      <c r="H133">
        <f>_xll.BDP(A133&amp;" AB Equity","HIGH_52WEEK")</f>
        <v>11.5</v>
      </c>
      <c r="I133">
        <f>_xll.BDP(A133&amp;" AB Equity","LOW_52WEEK")</f>
        <v>7.55</v>
      </c>
      <c r="J133">
        <f>_xll.BDP(A133&amp;" AB Equity","VOLUME")</f>
        <v>302495</v>
      </c>
      <c r="K133">
        <f>_xll.BDP(A133&amp;" AB Equity","OPEN")</f>
        <v>8.2100000000000009</v>
      </c>
      <c r="L133">
        <f>_xll.BDP(A133&amp;" AB Equity","LOW")</f>
        <v>8.16</v>
      </c>
      <c r="M133">
        <f>_xll.BDP(A133&amp;" AB Equity","HIGH")</f>
        <v>8.59</v>
      </c>
      <c r="N133">
        <f>_xll.BDP(A133&amp;" AB Equity","VWAP")</f>
        <v>8.4158000000000008</v>
      </c>
      <c r="O133" t="str">
        <f>_xll.BDP(A133&amp;" AB Equity","SAUDI_ARABIA_EXCHANGE_ID")</f>
        <v>6090</v>
      </c>
      <c r="P133">
        <f>_xll.BDP(A133&amp;" AB Equity","VOLUME_AVG_30D")</f>
        <v>95615.16</v>
      </c>
      <c r="Q133">
        <f>_xll.BDP(A133&amp;" AB Equity","BID")</f>
        <v>8.39</v>
      </c>
      <c r="R133">
        <f>_xll.BDP(A133&amp;" AB Equity","ASK")</f>
        <v>8.44</v>
      </c>
      <c r="S133">
        <f>_xll.BDP(A133&amp;" AB Equity","CHG_PCT_MOV_AVG_200D")</f>
        <v>-6.1143070000000002</v>
      </c>
      <c r="T133">
        <f>_xll.BDP(A133&amp;" AB Equity","HIGH_30D")</f>
        <v>8.8000000000000007</v>
      </c>
      <c r="U133">
        <f>_xll.BDP(A133&amp;" AB Equity","LOW_30D")</f>
        <v>7.8</v>
      </c>
      <c r="V133" s="11" t="str" cm="1">
        <f t="array" aca="1" ref="V133" ca="1">_xll.BDH(A133&amp;" AB Equity","MOV_AVG_200D",TODAY()-32,TODAY()-32,"Days=T")</f>
        <v>#N/A N/A</v>
      </c>
      <c r="W133">
        <v>9.5851000000000006</v>
      </c>
      <c r="X133">
        <f>IF(B133="","",_xlfn.SINGLE(_xll.BDP(A133&amp;" AB Equity","MOV_AVG_200D")))</f>
        <v>8.9470500000000008</v>
      </c>
    </row>
    <row r="134" spans="1:24" x14ac:dyDescent="0.25">
      <c r="A134" t="s">
        <v>143</v>
      </c>
      <c r="B134">
        <f>_xll.BDP(A134&amp;" AB Equity","LAST_PRICE")</f>
        <v>219.6</v>
      </c>
      <c r="C134">
        <f>_xll.BDP(A134&amp;" AB Equity","LAST_PRICE")</f>
        <v>219.6</v>
      </c>
      <c r="D134">
        <f>_xll.BDP(A134&amp;" AB Equity","RT_PX_CHG_PCT_1D")</f>
        <v>1.9972000122070313</v>
      </c>
      <c r="E134">
        <f>_xll.BDP(A134&amp;" AB Equity","CHG_PCT_1M_RT")</f>
        <v>-1.7010000000000001</v>
      </c>
      <c r="F134">
        <f>_xll.BDP(A134&amp;" AB Equity","CHG_PCT_YTD_RT")</f>
        <v>-11.0931</v>
      </c>
      <c r="G134">
        <f>_xll.BDP(A134&amp;" AB Equity","YEST_LAST_TRADE")</f>
        <v>215.3</v>
      </c>
      <c r="H134">
        <f>_xll.BDP(A134&amp;" AB Equity","HIGH_52WEEK")</f>
        <v>297.2</v>
      </c>
      <c r="I134">
        <f>_xll.BDP(A134&amp;" AB Equity","LOW_52WEEK")</f>
        <v>187</v>
      </c>
      <c r="J134">
        <f>_xll.BDP(A134&amp;" AB Equity","VOLUME")</f>
        <v>20552</v>
      </c>
      <c r="K134">
        <f>_xll.BDP(A134&amp;" AB Equity","OPEN")</f>
        <v>215.6</v>
      </c>
      <c r="L134">
        <f>_xll.BDP(A134&amp;" AB Equity","LOW")</f>
        <v>214.9</v>
      </c>
      <c r="M134">
        <f>_xll.BDP(A134&amp;" AB Equity","HIGH")</f>
        <v>219.6</v>
      </c>
      <c r="N134">
        <f>_xll.BDP(A134&amp;" AB Equity","VWAP")</f>
        <v>218.30070000000001</v>
      </c>
      <c r="O134" t="str">
        <f>_xll.BDP(A134&amp;" AB Equity","SAUDI_ARABIA_EXCHANGE_ID")</f>
        <v>2270</v>
      </c>
      <c r="P134">
        <f>_xll.BDP(A134&amp;" AB Equity","VOLUME_AVG_30D")</f>
        <v>25379.599999999999</v>
      </c>
      <c r="Q134">
        <f>_xll.BDP(A134&amp;" AB Equity","BID")</f>
        <v>219.6</v>
      </c>
      <c r="R134">
        <f>_xll.BDP(A134&amp;" AB Equity","ASK")</f>
        <v>219.9</v>
      </c>
      <c r="S134">
        <f>_xll.BDP(A134&amp;" AB Equity","CHG_PCT_MOV_AVG_200D")</f>
        <v>-7.4427880000000002</v>
      </c>
      <c r="T134">
        <f>_xll.BDP(A134&amp;" AB Equity","HIGH_30D")</f>
        <v>240</v>
      </c>
      <c r="U134">
        <f>_xll.BDP(A134&amp;" AB Equity","LOW_30D")</f>
        <v>214</v>
      </c>
      <c r="V134" s="11" t="str" cm="1">
        <f t="array" aca="1" ref="V134" ca="1">_xll.BDH(A134&amp;" AB Equity","MOV_AVG_200D",TODAY()-32,TODAY()-32,"Days=T")</f>
        <v>#N/A N/A</v>
      </c>
      <c r="W134">
        <v>9.5778999999999996</v>
      </c>
      <c r="X134">
        <f>IF(B134="","",_xlfn.SINGLE(_xll.BDP(A134&amp;" AB Equity","MOV_AVG_200D")))</f>
        <v>235.53</v>
      </c>
    </row>
    <row r="135" spans="1:24" x14ac:dyDescent="0.25">
      <c r="A135" t="s">
        <v>144</v>
      </c>
      <c r="B135">
        <f>_xll.BDP(A135&amp;" AB Equity","LAST_PRICE")</f>
        <v>54.5</v>
      </c>
      <c r="C135">
        <f>_xll.BDP(A135&amp;" AB Equity","LAST_PRICE")</f>
        <v>54.5</v>
      </c>
      <c r="D135">
        <f>_xll.BDP(A135&amp;" AB Equity","RT_PX_CHG_PCT_1D")</f>
        <v>-1.624500036239624</v>
      </c>
      <c r="E135">
        <f>_xll.BDP(A135&amp;" AB Equity","CHG_PCT_1M_RT")</f>
        <v>4.8076999999999996</v>
      </c>
      <c r="F135">
        <f>_xll.BDP(A135&amp;" AB Equity","CHG_PCT_YTD_RT")</f>
        <v>11.224500000000001</v>
      </c>
      <c r="G135">
        <f>_xll.BDP(A135&amp;" AB Equity","YEST_LAST_TRADE")</f>
        <v>55.4</v>
      </c>
      <c r="H135">
        <f>_xll.BDP(A135&amp;" AB Equity","HIGH_52WEEK")</f>
        <v>60.2</v>
      </c>
      <c r="I135">
        <f>_xll.BDP(A135&amp;" AB Equity","LOW_52WEEK")</f>
        <v>45.1</v>
      </c>
      <c r="J135">
        <f>_xll.BDP(A135&amp;" AB Equity","VOLUME")</f>
        <v>93917</v>
      </c>
      <c r="K135">
        <f>_xll.BDP(A135&amp;" AB Equity","OPEN")</f>
        <v>55.4</v>
      </c>
      <c r="L135">
        <f>_xll.BDP(A135&amp;" AB Equity","LOW")</f>
        <v>54.5</v>
      </c>
      <c r="M135">
        <f>_xll.BDP(A135&amp;" AB Equity","HIGH")</f>
        <v>55.9</v>
      </c>
      <c r="N135">
        <f>_xll.BDP(A135&amp;" AB Equity","VWAP")</f>
        <v>55.471200000000003</v>
      </c>
      <c r="O135" t="str">
        <f>_xll.BDP(A135&amp;" AB Equity","SAUDI_ARABIA_EXCHANGE_ID")</f>
        <v>2283</v>
      </c>
      <c r="P135">
        <f>_xll.BDP(A135&amp;" AB Equity","VOLUME_AVG_30D")</f>
        <v>75475.63</v>
      </c>
      <c r="Q135">
        <f>_xll.BDP(A135&amp;" AB Equity","BID")</f>
        <v>54.45</v>
      </c>
      <c r="R135">
        <f>_xll.BDP(A135&amp;" AB Equity","ASK")</f>
        <v>54.5</v>
      </c>
      <c r="S135">
        <f>_xll.BDP(A135&amp;" AB Equity","CHG_PCT_MOV_AVG_200D")</f>
        <v>7.8502320000000001</v>
      </c>
      <c r="T135">
        <f>_xll.BDP(A135&amp;" AB Equity","HIGH_30D")</f>
        <v>55.65</v>
      </c>
      <c r="U135">
        <f>_xll.BDP(A135&amp;" AB Equity","LOW_30D")</f>
        <v>51</v>
      </c>
      <c r="V135" s="11" t="str" cm="1">
        <f t="array" aca="1" ref="V135" ca="1">_xll.BDH(A135&amp;" AB Equity","MOV_AVG_200D",TODAY()-32,TODAY()-32,"Days=T")</f>
        <v>#N/A N/A</v>
      </c>
      <c r="W135">
        <v>51.616500000000002</v>
      </c>
      <c r="X135">
        <f>IF(B135="","",_xlfn.SINGLE(_xll.BDP(A135&amp;" AB Equity","MOV_AVG_200D")))</f>
        <v>51.460250000000002</v>
      </c>
    </row>
    <row r="136" spans="1:24" x14ac:dyDescent="0.25">
      <c r="A136" t="s">
        <v>145</v>
      </c>
      <c r="B136">
        <f>_xll.BDP(A136&amp;" AB Equity","LAST_PRICE")</f>
        <v>54.8</v>
      </c>
      <c r="C136">
        <f>_xll.BDP(A136&amp;" AB Equity","LAST_PRICE")</f>
        <v>54.8</v>
      </c>
      <c r="D136">
        <f>_xll.BDP(A136&amp;" AB Equity","RT_PX_CHG_PCT_1D")</f>
        <v>1.2939000129699707</v>
      </c>
      <c r="E136">
        <f>_xll.BDP(A136&amp;" AB Equity","CHG_PCT_1M_RT")</f>
        <v>1.8587</v>
      </c>
      <c r="F136">
        <f>_xll.BDP(A136&amp;" AB Equity","CHG_PCT_YTD_RT")</f>
        <v>-0.99370000000000003</v>
      </c>
      <c r="G136">
        <f>_xll.BDP(A136&amp;" AB Equity","YEST_LAST_TRADE")</f>
        <v>54.1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74519</v>
      </c>
      <c r="K136">
        <f>_xll.BDP(A136&amp;" AB Equity","OPEN")</f>
        <v>54</v>
      </c>
      <c r="L136">
        <f>_xll.BDP(A136&amp;" AB Equity","LOW")</f>
        <v>53.8</v>
      </c>
      <c r="M136">
        <f>_xll.BDP(A136&amp;" AB Equity","HIGH")</f>
        <v>55.2</v>
      </c>
      <c r="N136">
        <f>_xll.BDP(A136&amp;" AB Equity","VWAP")</f>
        <v>54.804099999999998</v>
      </c>
      <c r="O136" t="str">
        <f>_xll.BDP(A136&amp;" AB Equity","SAUDI_ARABIA_EXCHANGE_ID")</f>
        <v>2282</v>
      </c>
      <c r="P136">
        <f>_xll.BDP(A136&amp;" AB Equity","VOLUME_AVG_30D")</f>
        <v>25837.43</v>
      </c>
      <c r="Q136">
        <f>_xll.BDP(A136&amp;" AB Equity","BID")</f>
        <v>54.55</v>
      </c>
      <c r="R136">
        <f>_xll.BDP(A136&amp;" AB Equity","ASK")</f>
        <v>54.8</v>
      </c>
      <c r="S136">
        <f>_xll.BDP(A136&amp;" AB Equity","CHG_PCT_MOV_AVG_200D")</f>
        <v>0.94243569999999999</v>
      </c>
      <c r="T136">
        <f>_xll.BDP(A136&amp;" AB Equity","HIGH_30D")</f>
        <v>55.75</v>
      </c>
      <c r="U136">
        <f>_xll.BDP(A136&amp;" AB Equity","LOW_30D")</f>
        <v>51.25</v>
      </c>
      <c r="V136" s="11" t="str" cm="1">
        <f t="array" aca="1" ref="V136" ca="1">_xll.BDH(A136&amp;" AB Equity","MOV_AVG_200D",TODAY()-32,TODAY()-32,"Days=T")</f>
        <v>#N/A N/A</v>
      </c>
      <c r="W136">
        <v>51.635300000000001</v>
      </c>
      <c r="X136">
        <f>IF(B136="","",_xlfn.SINGLE(_xll.BDP(A136&amp;" AB Equity","MOV_AVG_200D")))</f>
        <v>54.486499999999999</v>
      </c>
    </row>
    <row r="137" spans="1:24" x14ac:dyDescent="0.25">
      <c r="A137" t="s">
        <v>146</v>
      </c>
      <c r="B137">
        <f>_xll.BDP(A137&amp;" AB Equity","LAST_PRICE")</f>
        <v>28.72</v>
      </c>
      <c r="C137">
        <f>_xll.BDP(A137&amp;" AB Equity","LAST_PRICE")</f>
        <v>28.72</v>
      </c>
      <c r="D137">
        <f>_xll.BDP(A137&amp;" AB Equity","RT_PX_CHG_PCT_1D")</f>
        <v>-6.9600000977516174E-2</v>
      </c>
      <c r="E137">
        <f>_xll.BDP(A137&amp;" AB Equity","CHG_PCT_1M_RT")</f>
        <v>1.1268</v>
      </c>
      <c r="F137">
        <f>_xll.BDP(A137&amp;" AB Equity","CHG_PCT_YTD_RT")</f>
        <v>0.34939999999999999</v>
      </c>
      <c r="G137">
        <f>_xll.BDP(A137&amp;" AB Equity","YEST_LAST_TRADE")</f>
        <v>28.74</v>
      </c>
      <c r="H137">
        <f>_xll.BDP(A137&amp;" AB Equity","HIGH_52WEEK")</f>
        <v>35.72</v>
      </c>
      <c r="I137">
        <f>_xll.BDP(A137&amp;" AB Equity","LOW_52WEEK")</f>
        <v>24.9</v>
      </c>
      <c r="J137">
        <f>_xll.BDP(A137&amp;" AB Equity","VOLUME")</f>
        <v>79780</v>
      </c>
      <c r="K137">
        <f>_xll.BDP(A137&amp;" AB Equity","OPEN")</f>
        <v>28.76</v>
      </c>
      <c r="L137">
        <f>_xll.BDP(A137&amp;" AB Equity","LOW")</f>
        <v>28.6</v>
      </c>
      <c r="M137">
        <f>_xll.BDP(A137&amp;" AB Equity","HIGH")</f>
        <v>28.94</v>
      </c>
      <c r="N137">
        <f>_xll.BDP(A137&amp;" AB Equity","VWAP")</f>
        <v>28.7973</v>
      </c>
      <c r="O137" t="str">
        <f>_xll.BDP(A137&amp;" AB Equity","SAUDI_ARABIA_EXCHANGE_ID")</f>
        <v>2284</v>
      </c>
      <c r="P137">
        <f>_xll.BDP(A137&amp;" AB Equity","VOLUME_AVG_30D")</f>
        <v>73219.47</v>
      </c>
      <c r="Q137">
        <f>_xll.BDP(A137&amp;" AB Equity","BID")</f>
        <v>28.72</v>
      </c>
      <c r="R137">
        <f>_xll.BDP(A137&amp;" AB Equity","ASK")</f>
        <v>28.8</v>
      </c>
      <c r="S137">
        <f>_xll.BDP(A137&amp;" AB Equity","CHG_PCT_MOV_AVG_200D")</f>
        <v>-3.2332869999999998</v>
      </c>
      <c r="T137">
        <f>_xll.BDP(A137&amp;" AB Equity","HIGH_30D")</f>
        <v>29.9</v>
      </c>
      <c r="U137">
        <f>_xll.BDP(A137&amp;" AB Equity","LOW_30D")</f>
        <v>27.96</v>
      </c>
      <c r="V137" s="11" t="str" cm="1">
        <f t="array" aca="1" ref="V137" ca="1">_xll.BDH(A137&amp;" AB Equity","MOV_AVG_200D",TODAY()-32,TODAY()-32,"Days=T")</f>
        <v>#N/A N/A</v>
      </c>
      <c r="W137">
        <v>51.6447</v>
      </c>
      <c r="X137">
        <f>IF(B137="","",_xlfn.SINGLE(_xll.BDP(A137&amp;" AB Equity","MOV_AVG_200D")))</f>
        <v>29.7623</v>
      </c>
    </row>
    <row r="138" spans="1:24" x14ac:dyDescent="0.25">
      <c r="A138" t="s">
        <v>147</v>
      </c>
      <c r="B138">
        <f>_xll.BDP(A138&amp;" AB Equity","LAST_PRICE")</f>
        <v>48.02</v>
      </c>
      <c r="C138">
        <f>_xll.BDP(A138&amp;" AB Equity","LAST_PRICE")</f>
        <v>48.02</v>
      </c>
      <c r="D138">
        <f>_xll.BDP(A138&amp;" AB Equity","RT_PX_CHG_PCT_1D")</f>
        <v>0.46029999852180481</v>
      </c>
      <c r="E138">
        <f>_xll.BDP(A138&amp;" AB Equity","CHG_PCT_1M_RT")</f>
        <v>4.5731999999999999</v>
      </c>
      <c r="F138">
        <f>_xll.BDP(A138&amp;" AB Equity","CHG_PCT_YTD_RT")</f>
        <v>24.082699999999999</v>
      </c>
      <c r="G138">
        <f>_xll.BDP(A138&amp;" AB Equity","YEST_LAST_TRADE")</f>
        <v>47.8</v>
      </c>
      <c r="H138">
        <f>_xll.BDP(A138&amp;" AB Equity","HIGH_52WEEK")</f>
        <v>50</v>
      </c>
      <c r="I138">
        <f>_xll.BDP(A138&amp;" AB Equity","LOW_52WEEK")</f>
        <v>35.6</v>
      </c>
      <c r="J138">
        <f>_xll.BDP(A138&amp;" AB Equity","VOLUME")</f>
        <v>69291</v>
      </c>
      <c r="K138">
        <f>_xll.BDP(A138&amp;" AB Equity","OPEN")</f>
        <v>47.8</v>
      </c>
      <c r="L138">
        <f>_xll.BDP(A138&amp;" AB Equity","LOW")</f>
        <v>47.66</v>
      </c>
      <c r="M138">
        <f>_xll.BDP(A138&amp;" AB Equity","HIGH")</f>
        <v>48.16</v>
      </c>
      <c r="N138">
        <f>_xll.BDP(A138&amp;" AB Equity","VWAP")</f>
        <v>47.945099999999996</v>
      </c>
      <c r="O138" t="str">
        <f>_xll.BDP(A138&amp;" AB Equity","SAUDI_ARABIA_EXCHANGE_ID")</f>
        <v>2285</v>
      </c>
      <c r="P138">
        <f>_xll.BDP(A138&amp;" AB Equity","VOLUME_AVG_30D")</f>
        <v>190257.9</v>
      </c>
      <c r="Q138">
        <f>_xll.BDP(A138&amp;" AB Equity","BID")</f>
        <v>47.82</v>
      </c>
      <c r="R138">
        <f>_xll.BDP(A138&amp;" AB Equity","ASK")</f>
        <v>48.02</v>
      </c>
      <c r="S138">
        <f>_xll.BDP(A138&amp;" AB Equity","CHG_PCT_MOV_AVG_200D")</f>
        <v>16.785119999999999</v>
      </c>
      <c r="T138">
        <f>_xll.BDP(A138&amp;" AB Equity","HIGH_30D")</f>
        <v>50</v>
      </c>
      <c r="U138">
        <f>_xll.BDP(A138&amp;" AB Equity","LOW_30D")</f>
        <v>43.5</v>
      </c>
      <c r="V138" s="11" t="str" cm="1">
        <f t="array" aca="1" ref="V138" ca="1">_xll.BDH(A138&amp;" AB Equity","MOV_AVG_200D",TODAY()-32,TODAY()-32,"Days=T")</f>
        <v>#N/A N/A</v>
      </c>
      <c r="W138">
        <v>51.65</v>
      </c>
      <c r="X138">
        <f>IF(B138="","",_xlfn.SINGLE(_xll.BDP(A138&amp;" AB Equity","MOV_AVG_200D")))</f>
        <v>41.084000000000003</v>
      </c>
    </row>
    <row r="139" spans="1:24" x14ac:dyDescent="0.25">
      <c r="A139" t="s">
        <v>148</v>
      </c>
      <c r="B139">
        <f>_xll.BDP(A139&amp;" AB Equity","LAST_PRICE")</f>
        <v>32.74</v>
      </c>
      <c r="C139">
        <f>_xll.BDP(A139&amp;" AB Equity","LAST_PRICE")</f>
        <v>32.74</v>
      </c>
      <c r="D139">
        <f>_xll.BDP(A139&amp;" AB Equity","RT_PX_CHG_PCT_1D")</f>
        <v>1.0493999719619751</v>
      </c>
      <c r="E139">
        <f>_xll.BDP(A139&amp;" AB Equity","CHG_PCT_1M_RT")</f>
        <v>5.8861999999999997</v>
      </c>
      <c r="F139">
        <f>_xll.BDP(A139&amp;" AB Equity","CHG_PCT_YTD_RT")</f>
        <v>2.2486000000000002</v>
      </c>
      <c r="G139">
        <f>_xll.BDP(A139&amp;" AB Equity","YEST_LAST_TRADE")</f>
        <v>32.4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87596</v>
      </c>
      <c r="K139">
        <f>_xll.BDP(A139&amp;" AB Equity","OPEN")</f>
        <v>32.4</v>
      </c>
      <c r="L139">
        <f>_xll.BDP(A139&amp;" AB Equity","LOW")</f>
        <v>32</v>
      </c>
      <c r="M139">
        <f>_xll.BDP(A139&amp;" AB Equity","HIGH")</f>
        <v>33.119999999999997</v>
      </c>
      <c r="N139">
        <f>_xll.BDP(A139&amp;" AB Equity","VWAP")</f>
        <v>32.819200000000002</v>
      </c>
      <c r="O139" t="str">
        <f>_xll.BDP(A139&amp;" AB Equity","SAUDI_ARABIA_EXCHANGE_ID")</f>
        <v>6001</v>
      </c>
      <c r="P139">
        <f>_xll.BDP(A139&amp;" AB Equity","VOLUME_AVG_30D")</f>
        <v>49600.43</v>
      </c>
      <c r="Q139">
        <f>_xll.BDP(A139&amp;" AB Equity","BID")</f>
        <v>32.74</v>
      </c>
      <c r="R139">
        <f>_xll.BDP(A139&amp;" AB Equity","ASK")</f>
        <v>32.92</v>
      </c>
      <c r="S139">
        <f>_xll.BDP(A139&amp;" AB Equity","CHG_PCT_MOV_AVG_200D")</f>
        <v>-2.4880589999999998</v>
      </c>
      <c r="T139">
        <f>_xll.BDP(A139&amp;" AB Equity","HIGH_30D")</f>
        <v>33.26</v>
      </c>
      <c r="U139">
        <f>_xll.BDP(A139&amp;" AB Equity","LOW_30D")</f>
        <v>30.62</v>
      </c>
      <c r="V139" s="11" t="str" cm="1">
        <f t="array" aca="1" ref="V139" ca="1">_xll.BDH(A139&amp;" AB Equity","MOV_AVG_200D",TODAY()-32,TODAY()-32,"Days=T")</f>
        <v>#N/A N/A</v>
      </c>
      <c r="W139">
        <v>51.651699999999998</v>
      </c>
      <c r="X139">
        <f>IF(B139="","",_xlfn.SINGLE(_xll.BDP(A139&amp;" AB Equity","MOV_AVG_200D")))</f>
        <v>33.8215</v>
      </c>
    </row>
    <row r="140" spans="1:24" x14ac:dyDescent="0.25">
      <c r="A140" t="s">
        <v>149</v>
      </c>
      <c r="B140">
        <f>_xll.BDP(A140&amp;" AB Equity","LAST_PRICE")</f>
        <v>15.82</v>
      </c>
      <c r="C140">
        <f>_xll.BDP(A140&amp;" AB Equity","LAST_PRICE")</f>
        <v>15.82</v>
      </c>
      <c r="D140">
        <f>_xll.BDP(A140&amp;" AB Equity","RT_PX_CHG_PCT_1D")</f>
        <v>0.44440001249313354</v>
      </c>
      <c r="E140">
        <f>_xll.BDP(A140&amp;" AB Equity","CHG_PCT_1M_RT")</f>
        <v>-6.5011999999999999</v>
      </c>
      <c r="F140">
        <f>_xll.BDP(A140&amp;" AB Equity","CHG_PCT_YTD_RT")</f>
        <v>-13.975</v>
      </c>
      <c r="G140">
        <f>_xll.BDP(A140&amp;" AB Equity","YEST_LAST_TRADE")</f>
        <v>15.75</v>
      </c>
      <c r="H140">
        <f>_xll.BDP(A140&amp;" AB Equity","HIGH_52WEEK")</f>
        <v>22.7</v>
      </c>
      <c r="I140">
        <f>_xll.BDP(A140&amp;" AB Equity","LOW_52WEEK")</f>
        <v>15.54</v>
      </c>
      <c r="J140">
        <f>_xll.BDP(A140&amp;" AB Equity","VOLUME")</f>
        <v>835003</v>
      </c>
      <c r="K140">
        <f>_xll.BDP(A140&amp;" AB Equity","OPEN")</f>
        <v>15.81</v>
      </c>
      <c r="L140">
        <f>_xll.BDP(A140&amp;" AB Equity","LOW")</f>
        <v>15.75</v>
      </c>
      <c r="M140">
        <f>_xll.BDP(A140&amp;" AB Equity","HIGH")</f>
        <v>15.96</v>
      </c>
      <c r="N140">
        <f>_xll.BDP(A140&amp;" AB Equity","VWAP")</f>
        <v>15.8636</v>
      </c>
      <c r="O140" t="str">
        <f>_xll.BDP(A140&amp;" AB Equity","SAUDI_ARABIA_EXCHANGE_ID")</f>
        <v>6010</v>
      </c>
      <c r="P140">
        <f>_xll.BDP(A140&amp;" AB Equity","VOLUME_AVG_30D")</f>
        <v>1269122</v>
      </c>
      <c r="Q140">
        <f>_xll.BDP(A140&amp;" AB Equity","BID")</f>
        <v>15.81</v>
      </c>
      <c r="R140">
        <f>_xll.BDP(A140&amp;" AB Equity","ASK")</f>
        <v>15.82</v>
      </c>
      <c r="S140">
        <f>_xll.BDP(A140&amp;" AB Equity","CHG_PCT_MOV_AVG_200D")</f>
        <v>-13.9033</v>
      </c>
      <c r="T140">
        <f>_xll.BDP(A140&amp;" AB Equity","HIGH_30D")</f>
        <v>17.89</v>
      </c>
      <c r="U140">
        <f>_xll.BDP(A140&amp;" AB Equity","LOW_30D")</f>
        <v>15.73</v>
      </c>
      <c r="V140" s="11" t="str" cm="1">
        <f t="array" aca="1" ref="V140" ca="1">_xll.BDH(A140&amp;" AB Equity","MOV_AVG_200D",TODAY()-32,TODAY()-32,"Days=T")</f>
        <v>#N/A N/A</v>
      </c>
      <c r="W140">
        <v>51.650199999999998</v>
      </c>
      <c r="X140">
        <f>IF(B140="","",_xlfn.SINGLE(_xll.BDP(A140&amp;" AB Equity","MOV_AVG_200D")))</f>
        <v>18.50245</v>
      </c>
    </row>
    <row r="141" spans="1:24" x14ac:dyDescent="0.25">
      <c r="A141" t="s">
        <v>150</v>
      </c>
      <c r="B141">
        <f>_xll.BDP(A141&amp;" AB Equity","LAST_PRICE")</f>
        <v>7.01</v>
      </c>
      <c r="C141">
        <f>_xll.BDP(A141&amp;" AB Equity","LAST_PRICE")</f>
        <v>7.01</v>
      </c>
      <c r="D141">
        <f>_xll.BDP(A141&amp;" AB Equity","RT_PX_CHG_PCT_1D")</f>
        <v>4.0058999061584473</v>
      </c>
      <c r="E141">
        <f>_xll.BDP(A141&amp;" AB Equity","CHG_PCT_1M_RT")</f>
        <v>12.701000000000001</v>
      </c>
      <c r="F141">
        <f>_xll.BDP(A141&amp;" AB Equity","CHG_PCT_YTD_RT")</f>
        <v>-8.1257999999999999</v>
      </c>
      <c r="G141">
        <f>_xll.BDP(A141&amp;" AB Equity","YEST_LAST_TRADE")</f>
        <v>6.74</v>
      </c>
      <c r="H141">
        <f>_xll.BDP(A141&amp;" AB Equity","HIGH_52WEEK")</f>
        <v>11.94</v>
      </c>
      <c r="I141">
        <f>_xll.BDP(A141&amp;" AB Equity","LOW_52WEEK")</f>
        <v>5.8</v>
      </c>
      <c r="J141">
        <f>_xll.BDP(A141&amp;" AB Equity","VOLUME")</f>
        <v>1386455</v>
      </c>
      <c r="K141">
        <f>_xll.BDP(A141&amp;" AB Equity","OPEN")</f>
        <v>6.74</v>
      </c>
      <c r="L141">
        <f>_xll.BDP(A141&amp;" AB Equity","LOW")</f>
        <v>6.74</v>
      </c>
      <c r="M141">
        <f>_xll.BDP(A141&amp;" AB Equity","HIGH")</f>
        <v>7.24</v>
      </c>
      <c r="N141">
        <f>_xll.BDP(A141&amp;" AB Equity","VWAP")</f>
        <v>7.0702999999999996</v>
      </c>
      <c r="O141" t="str">
        <f>_xll.BDP(A141&amp;" AB Equity","SAUDI_ARABIA_EXCHANGE_ID")</f>
        <v>6040</v>
      </c>
      <c r="P141">
        <f>_xll.BDP(A141&amp;" AB Equity","VOLUME_AVG_30D")</f>
        <v>566367.19999999995</v>
      </c>
      <c r="Q141">
        <f>_xll.BDP(A141&amp;" AB Equity","BID")</f>
        <v>7.01</v>
      </c>
      <c r="R141">
        <f>_xll.BDP(A141&amp;" AB Equity","ASK")</f>
        <v>7.03</v>
      </c>
      <c r="S141">
        <f>_xll.BDP(A141&amp;" AB Equity","CHG_PCT_MOV_AVG_200D")</f>
        <v>-9.970796</v>
      </c>
      <c r="T141">
        <f>_xll.BDP(A141&amp;" AB Equity","HIGH_30D")</f>
        <v>6.98</v>
      </c>
      <c r="U141">
        <f>_xll.BDP(A141&amp;" AB Equity","LOW_30D")</f>
        <v>5.8</v>
      </c>
      <c r="V141" s="11" t="str" cm="1">
        <f t="array" aca="1" ref="V141" ca="1">_xll.BDH(A141&amp;" AB Equity","MOV_AVG_200D",TODAY()-32,TODAY()-32,"Days=T")</f>
        <v>#N/A N/A</v>
      </c>
      <c r="W141">
        <v>54.103400000000001</v>
      </c>
      <c r="X141">
        <f>IF(B141="","",_xlfn.SINGLE(_xll.BDP(A141&amp;" AB Equity","MOV_AVG_200D")))</f>
        <v>7.8418999999999999</v>
      </c>
    </row>
    <row r="142" spans="1:24" x14ac:dyDescent="0.25">
      <c r="A142" t="s">
        <v>151</v>
      </c>
      <c r="B142">
        <f>_xll.BDP(A142&amp;" AB Equity","LAST_PRICE")</f>
        <v>13.07</v>
      </c>
      <c r="C142">
        <f>_xll.BDP(A142&amp;" AB Equity","LAST_PRICE")</f>
        <v>13.07</v>
      </c>
      <c r="D142">
        <f>_xll.BDP(A142&amp;" AB Equity","RT_PX_CHG_PCT_1D")</f>
        <v>1.396399974822998</v>
      </c>
      <c r="E142">
        <f>_xll.BDP(A142&amp;" AB Equity","CHG_PCT_1M_RT")</f>
        <v>8.5548000000000002</v>
      </c>
      <c r="F142">
        <f>_xll.BDP(A142&amp;" AB Equity","CHG_PCT_YTD_RT")</f>
        <v>-20.3049</v>
      </c>
      <c r="G142">
        <f>_xll.BDP(A142&amp;" AB Equity","YEST_LAST_TRADE")</f>
        <v>12.89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548403</v>
      </c>
      <c r="K142">
        <f>_xll.BDP(A142&amp;" AB Equity","OPEN")</f>
        <v>12.89</v>
      </c>
      <c r="L142">
        <f>_xll.BDP(A142&amp;" AB Equity","LOW")</f>
        <v>12.81</v>
      </c>
      <c r="M142">
        <f>_xll.BDP(A142&amp;" AB Equity","HIGH")</f>
        <v>13.45</v>
      </c>
      <c r="N142">
        <f>_xll.BDP(A142&amp;" AB Equity","VWAP")</f>
        <v>13.1875</v>
      </c>
      <c r="O142" t="str">
        <f>_xll.BDP(A142&amp;" AB Equity","SAUDI_ARABIA_EXCHANGE_ID")</f>
        <v>6020</v>
      </c>
      <c r="P142">
        <f>_xll.BDP(A142&amp;" AB Equity","VOLUME_AVG_30D")</f>
        <v>136267.9</v>
      </c>
      <c r="Q142">
        <f>_xll.BDP(A142&amp;" AB Equity","BID")</f>
        <v>13.07</v>
      </c>
      <c r="R142">
        <f>_xll.BDP(A142&amp;" AB Equity","ASK")</f>
        <v>13.11</v>
      </c>
      <c r="S142">
        <f>_xll.BDP(A142&amp;" AB Equity","CHG_PCT_MOV_AVG_200D")</f>
        <v>-13.970219999999999</v>
      </c>
      <c r="T142">
        <f>_xll.BDP(A142&amp;" AB Equity","HIGH_30D")</f>
        <v>13.12</v>
      </c>
      <c r="U142">
        <f>_xll.BDP(A142&amp;" AB Equity","LOW_30D")</f>
        <v>11.68</v>
      </c>
      <c r="V142" s="11" t="str" cm="1">
        <f t="array" aca="1" ref="V142" ca="1">_xll.BDH(A142&amp;" AB Equity","MOV_AVG_200D",TODAY()-32,TODAY()-32,"Days=T")</f>
        <v>#N/A N/A</v>
      </c>
      <c r="W142">
        <v>30.576799999999999</v>
      </c>
      <c r="X142">
        <f>IF(B142="","",_xlfn.SINGLE(_xll.BDP(A142&amp;" AB Equity","MOV_AVG_200D")))</f>
        <v>15.331899999999999</v>
      </c>
    </row>
    <row r="143" spans="1:24" x14ac:dyDescent="0.25">
      <c r="A143" t="s">
        <v>152</v>
      </c>
      <c r="B143">
        <f>_xll.BDP(A143&amp;" AB Equity","LAST_PRICE")</f>
        <v>28.58</v>
      </c>
      <c r="C143">
        <f>_xll.BDP(A143&amp;" AB Equity","LAST_PRICE")</f>
        <v>28.58</v>
      </c>
      <c r="D143">
        <f>_xll.BDP(A143&amp;" AB Equity","RT_PX_CHG_PCT_1D")</f>
        <v>-1.7194000482559204</v>
      </c>
      <c r="E143">
        <f>_xll.BDP(A143&amp;" AB Equity","CHG_PCT_1M_RT")</f>
        <v>0.63380000000000003</v>
      </c>
      <c r="F143">
        <f>_xll.BDP(A143&amp;" AB Equity","CHG_PCT_YTD_RT")</f>
        <v>30.561900000000001</v>
      </c>
      <c r="G143">
        <f>_xll.BDP(A143&amp;" AB Equity","YEST_LAST_TRADE")</f>
        <v>29.08</v>
      </c>
      <c r="H143">
        <f>_xll.BDP(A143&amp;" AB Equity","HIGH_52WEEK")</f>
        <v>30.3</v>
      </c>
      <c r="I143">
        <f>_xll.BDP(A143&amp;" AB Equity","LOW_52WEEK")</f>
        <v>20.45</v>
      </c>
      <c r="J143">
        <f>_xll.BDP(A143&amp;" AB Equity","VOLUME")</f>
        <v>787560</v>
      </c>
      <c r="K143">
        <f>_xll.BDP(A143&amp;" AB Equity","OPEN")</f>
        <v>28.96</v>
      </c>
      <c r="L143">
        <f>_xll.BDP(A143&amp;" AB Equity","LOW")</f>
        <v>28.58</v>
      </c>
      <c r="M143">
        <f>_xll.BDP(A143&amp;" AB Equity","HIGH")</f>
        <v>29.34</v>
      </c>
      <c r="N143">
        <f>_xll.BDP(A143&amp;" AB Equity","VWAP")</f>
        <v>28.906300000000002</v>
      </c>
      <c r="O143" t="str">
        <f>_xll.BDP(A143&amp;" AB Equity","SAUDI_ARABIA_EXCHANGE_ID")</f>
        <v>2050</v>
      </c>
      <c r="P143">
        <f>_xll.BDP(A143&amp;" AB Equity","VOLUME_AVG_30D")</f>
        <v>1068513</v>
      </c>
      <c r="Q143">
        <f>_xll.BDP(A143&amp;" AB Equity","BID")</f>
        <v>28.54</v>
      </c>
      <c r="R143">
        <f>_xll.BDP(A143&amp;" AB Equity","ASK")</f>
        <v>28.58</v>
      </c>
      <c r="S143">
        <f>_xll.BDP(A143&amp;" AB Equity","CHG_PCT_MOV_AVG_200D")</f>
        <v>15.89106</v>
      </c>
      <c r="T143">
        <f>_xll.BDP(A143&amp;" AB Equity","HIGH_30D")</f>
        <v>30.3</v>
      </c>
      <c r="U143">
        <f>_xll.BDP(A143&amp;" AB Equity","LOW_30D")</f>
        <v>25.6</v>
      </c>
      <c r="V143" s="11" t="str" cm="1">
        <f t="array" aca="1" ref="V143" ca="1">_xll.BDH(A143&amp;" AB Equity","MOV_AVG_200D",TODAY()-32,TODAY()-32,"Days=T")</f>
        <v>#N/A N/A</v>
      </c>
      <c r="W143">
        <v>19.686499999999999</v>
      </c>
      <c r="X143">
        <f>IF(B143="","",_xlfn.SINGLE(_xll.BDP(A143&amp;" AB Equity","MOV_AVG_200D")))</f>
        <v>25.023499999999999</v>
      </c>
    </row>
    <row r="144" spans="1:24" x14ac:dyDescent="0.25">
      <c r="A144" t="s">
        <v>153</v>
      </c>
      <c r="B144">
        <f>_xll.BDP(A144&amp;" AB Equity","LAST_PRICE")</f>
        <v>45.48</v>
      </c>
      <c r="C144">
        <f>_xll.BDP(A144&amp;" AB Equity","LAST_PRICE")</f>
        <v>45.48</v>
      </c>
      <c r="D144">
        <f>_xll.BDP(A144&amp;" AB Equity","RT_PX_CHG_PCT_1D")</f>
        <v>1.5178999900817871</v>
      </c>
      <c r="E144">
        <f>_xll.BDP(A144&amp;" AB Equity","CHG_PCT_1M_RT")</f>
        <v>-1.3449</v>
      </c>
      <c r="F144">
        <f>_xll.BDP(A144&amp;" AB Equity","CHG_PCT_YTD_RT")</f>
        <v>5.1318000000000001</v>
      </c>
      <c r="G144">
        <f>_xll.BDP(A144&amp;" AB Equity","YEST_LAST_TRADE")</f>
        <v>44.8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1635580</v>
      </c>
      <c r="K144">
        <f>_xll.BDP(A144&amp;" AB Equity","OPEN")</f>
        <v>44.8</v>
      </c>
      <c r="L144">
        <f>_xll.BDP(A144&amp;" AB Equity","LOW")</f>
        <v>44.3</v>
      </c>
      <c r="M144">
        <f>_xll.BDP(A144&amp;" AB Equity","HIGH")</f>
        <v>45.56</v>
      </c>
      <c r="N144">
        <f>_xll.BDP(A144&amp;" AB Equity","VWAP")</f>
        <v>45.0197</v>
      </c>
      <c r="O144" t="str">
        <f>_xll.BDP(A144&amp;" AB Equity","SAUDI_ARABIA_EXCHANGE_ID")</f>
        <v>2280</v>
      </c>
      <c r="P144">
        <f>_xll.BDP(A144&amp;" AB Equity","VOLUME_AVG_30D")</f>
        <v>1035177</v>
      </c>
      <c r="Q144">
        <f>_xll.BDP(A144&amp;" AB Equity","BID")</f>
        <v>45.48</v>
      </c>
      <c r="R144">
        <f>_xll.BDP(A144&amp;" AB Equity","ASK")</f>
        <v>45.5</v>
      </c>
      <c r="S144">
        <f>_xll.BDP(A144&amp;" AB Equity","CHG_PCT_MOV_AVG_200D")</f>
        <v>0.12504090000000001</v>
      </c>
      <c r="T144">
        <f>_xll.BDP(A144&amp;" AB Equity","HIGH_30D")</f>
        <v>46.68</v>
      </c>
      <c r="U144">
        <f>_xll.BDP(A144&amp;" AB Equity","LOW_30D")</f>
        <v>42.68</v>
      </c>
      <c r="V144" s="11" t="str" cm="1">
        <f t="array" aca="1" ref="V144" ca="1">_xll.BDH(A144&amp;" AB Equity","MOV_AVG_200D",TODAY()-32,TODAY()-32,"Days=T")</f>
        <v>#N/A N/A</v>
      </c>
      <c r="W144">
        <v>19.667000000000002</v>
      </c>
      <c r="X144">
        <f>IF(B144="","",_xlfn.SINGLE(_xll.BDP(A144&amp;" AB Equity","MOV_AVG_200D")))</f>
        <v>44.823950000000004</v>
      </c>
    </row>
    <row r="145" spans="1:24" x14ac:dyDescent="0.25">
      <c r="A145" t="s">
        <v>154</v>
      </c>
      <c r="B145">
        <f>_xll.BDP(A145&amp;" AB Equity","LAST_PRICE")</f>
        <v>43.9</v>
      </c>
      <c r="C145">
        <f>_xll.BDP(A145&amp;" AB Equity","LAST_PRICE")</f>
        <v>43.9</v>
      </c>
      <c r="D145">
        <f>_xll.BDP(A145&amp;" AB Equity","RT_PX_CHG_PCT_1D")</f>
        <v>4.0777997970581055</v>
      </c>
      <c r="E145">
        <f>_xll.BDP(A145&amp;" AB Equity","CHG_PCT_1M_RT")</f>
        <v>0.13689999999999999</v>
      </c>
      <c r="F145">
        <f>_xll.BDP(A145&amp;" AB Equity","CHG_PCT_YTD_RT")</f>
        <v>0.68810000000000004</v>
      </c>
      <c r="G145">
        <f>_xll.BDP(A145&amp;" AB Equity","YEST_LAST_TRADE")</f>
        <v>42.18</v>
      </c>
      <c r="H145">
        <f>_xll.BDP(A145&amp;" AB Equity","HIGH_52WEEK")</f>
        <v>53.9</v>
      </c>
      <c r="I145">
        <f>_xll.BDP(A145&amp;" AB Equity","LOW_52WEEK")</f>
        <v>40.74</v>
      </c>
      <c r="J145">
        <f>_xll.BDP(A145&amp;" AB Equity","VOLUME")</f>
        <v>200866</v>
      </c>
      <c r="K145">
        <f>_xll.BDP(A145&amp;" AB Equity","OPEN")</f>
        <v>42.18</v>
      </c>
      <c r="L145">
        <f>_xll.BDP(A145&amp;" AB Equity","LOW")</f>
        <v>42.08</v>
      </c>
      <c r="M145">
        <f>_xll.BDP(A145&amp;" AB Equity","HIGH")</f>
        <v>43.98</v>
      </c>
      <c r="N145">
        <f>_xll.BDP(A145&amp;" AB Equity","VWAP")</f>
        <v>43.479199999999999</v>
      </c>
      <c r="O145" t="str">
        <f>_xll.BDP(A145&amp;" AB Equity","SAUDI_ARABIA_EXCHANGE_ID")</f>
        <v>6070</v>
      </c>
      <c r="P145">
        <f>_xll.BDP(A145&amp;" AB Equity","VOLUME_AVG_30D")</f>
        <v>62781.33</v>
      </c>
      <c r="Q145">
        <f>_xll.BDP(A145&amp;" AB Equity","BID")</f>
        <v>43.8</v>
      </c>
      <c r="R145">
        <f>_xll.BDP(A145&amp;" AB Equity","ASK")</f>
        <v>43.9</v>
      </c>
      <c r="S145">
        <f>_xll.BDP(A145&amp;" AB Equity","CHG_PCT_MOV_AVG_200D")</f>
        <v>-6.524394</v>
      </c>
      <c r="T145">
        <f>_xll.BDP(A145&amp;" AB Equity","HIGH_30D")</f>
        <v>45.46</v>
      </c>
      <c r="U145">
        <f>_xll.BDP(A145&amp;" AB Equity","LOW_30D")</f>
        <v>42</v>
      </c>
      <c r="V145" s="11" t="str" cm="1">
        <f t="array" aca="1" ref="V145" ca="1">_xll.BDH(A145&amp;" AB Equity","MOV_AVG_200D",TODAY()-32,TODAY()-32,"Days=T")</f>
        <v>#N/A N/A</v>
      </c>
      <c r="W145">
        <v>45.785499999999999</v>
      </c>
      <c r="X145">
        <f>IF(B145="","",_xlfn.SINGLE(_xll.BDP(A145&amp;" AB Equity","MOV_AVG_200D")))</f>
        <v>46.300849999999997</v>
      </c>
    </row>
    <row r="146" spans="1:24" x14ac:dyDescent="0.25">
      <c r="A146" t="s">
        <v>155</v>
      </c>
      <c r="B146">
        <f>_xll.BDP(A146&amp;" AB Equity","LAST_PRICE")</f>
        <v>56.65</v>
      </c>
      <c r="C146">
        <f>_xll.BDP(A146&amp;" AB Equity","LAST_PRICE")</f>
        <v>56.65</v>
      </c>
      <c r="D146">
        <f>_xll.BDP(A146&amp;" AB Equity","RT_PX_CHG_PCT_1D")</f>
        <v>1.2510999441146851</v>
      </c>
      <c r="E146">
        <f>_xll.BDP(A146&amp;" AB Equity","CHG_PCT_1M_RT")</f>
        <v>-7.5856000000000003</v>
      </c>
      <c r="F146">
        <f>_xll.BDP(A146&amp;" AB Equity","CHG_PCT_YTD_RT")</f>
        <v>-0.87490000000000001</v>
      </c>
      <c r="G146">
        <f>_xll.BDP(A146&amp;" AB Equity","YEST_LAST_TRADE")</f>
        <v>55.95</v>
      </c>
      <c r="H146">
        <f>_xll.BDP(A146&amp;" AB Equity","HIGH_52WEEK")</f>
        <v>98.9</v>
      </c>
      <c r="I146">
        <f>_xll.BDP(A146&amp;" AB Equity","LOW_52WEEK")</f>
        <v>44.6</v>
      </c>
      <c r="J146">
        <f>_xll.BDP(A146&amp;" AB Equity","VOLUME")</f>
        <v>45172</v>
      </c>
      <c r="K146">
        <f>_xll.BDP(A146&amp;" AB Equity","OPEN")</f>
        <v>56.15</v>
      </c>
      <c r="L146">
        <f>_xll.BDP(A146&amp;" AB Equity","LOW")</f>
        <v>55.85</v>
      </c>
      <c r="M146">
        <f>_xll.BDP(A146&amp;" AB Equity","HIGH")</f>
        <v>57.95</v>
      </c>
      <c r="N146">
        <f>_xll.BDP(A146&amp;" AB Equity","VWAP")</f>
        <v>57.224299999999999</v>
      </c>
      <c r="O146" t="str">
        <f>_xll.BDP(A146&amp;" AB Equity","SAUDI_ARABIA_EXCHANGE_ID")</f>
        <v>2281</v>
      </c>
      <c r="P146">
        <f>_xll.BDP(A146&amp;" AB Equity","VOLUME_AVG_30D")</f>
        <v>32871.870000000003</v>
      </c>
      <c r="Q146">
        <f>_xll.BDP(A146&amp;" AB Equity","BID")</f>
        <v>56.65</v>
      </c>
      <c r="R146">
        <f>_xll.BDP(A146&amp;" AB Equity","ASK")</f>
        <v>56.8</v>
      </c>
      <c r="S146">
        <f>_xll.BDP(A146&amp;" AB Equity","CHG_PCT_MOV_AVG_200D")</f>
        <v>-10.18333</v>
      </c>
      <c r="T146">
        <f>_xll.BDP(A146&amp;" AB Equity","HIGH_30D")</f>
        <v>63.25</v>
      </c>
      <c r="U146">
        <f>_xll.BDP(A146&amp;" AB Equity","LOW_30D")</f>
        <v>55</v>
      </c>
      <c r="V146" s="11" t="str" cm="1">
        <f t="array" aca="1" ref="V146" ca="1">_xll.BDH(A146&amp;" AB Equity","MOV_AVG_200D",TODAY()-32,TODAY()-32,"Days=T")</f>
        <v>#N/A N/A</v>
      </c>
      <c r="W146">
        <v>45.832299999999996</v>
      </c>
      <c r="X146">
        <f>IF(B146="","",_xlfn.SINGLE(_xll.BDP(A146&amp;" AB Equity","MOV_AVG_200D")))</f>
        <v>63.740949999999998</v>
      </c>
    </row>
    <row r="147" spans="1:24" x14ac:dyDescent="0.25">
      <c r="A147" t="s">
        <v>156</v>
      </c>
      <c r="B147">
        <f>_xll.BDP(A147&amp;" AB Equity","LAST_PRICE")</f>
        <v>23.38</v>
      </c>
      <c r="C147">
        <f>_xll.BDP(A147&amp;" AB Equity","LAST_PRICE")</f>
        <v>23.38</v>
      </c>
      <c r="D147">
        <f>_xll.BDP(A147&amp;" AB Equity","RT_PX_CHG_PCT_1D")</f>
        <v>5.9836997985839844</v>
      </c>
      <c r="E147">
        <f>_xll.BDP(A147&amp;" AB Equity","CHG_PCT_1M_RT")</f>
        <v>16.3184</v>
      </c>
      <c r="F147">
        <f>_xll.BDP(A147&amp;" AB Equity","CHG_PCT_YTD_RT")</f>
        <v>13.2752</v>
      </c>
      <c r="G147">
        <f>_xll.BDP(A147&amp;" AB Equity","YEST_LAST_TRADE")</f>
        <v>22.06</v>
      </c>
      <c r="H147">
        <f>_xll.BDP(A147&amp;" AB Equity","HIGH_52WEEK")</f>
        <v>30.7</v>
      </c>
      <c r="I147">
        <f>_xll.BDP(A147&amp;" AB Equity","LOW_52WEEK")</f>
        <v>17.22</v>
      </c>
      <c r="J147">
        <f>_xll.BDP(A147&amp;" AB Equity","VOLUME")</f>
        <v>1258470</v>
      </c>
      <c r="K147">
        <f>_xll.BDP(A147&amp;" AB Equity","OPEN")</f>
        <v>22.1</v>
      </c>
      <c r="L147">
        <f>_xll.BDP(A147&amp;" AB Equity","LOW")</f>
        <v>22</v>
      </c>
      <c r="M147">
        <f>_xll.BDP(A147&amp;" AB Equity","HIGH")</f>
        <v>24</v>
      </c>
      <c r="N147">
        <f>_xll.BDP(A147&amp;" AB Equity","VWAP")</f>
        <v>23.2774</v>
      </c>
      <c r="O147" t="str">
        <f>_xll.BDP(A147&amp;" AB Equity","SAUDI_ARABIA_EXCHANGE_ID")</f>
        <v>2100</v>
      </c>
      <c r="P147">
        <f>_xll.BDP(A147&amp;" AB Equity","VOLUME_AVG_30D")</f>
        <v>257101.5</v>
      </c>
      <c r="Q147">
        <f>_xll.BDP(A147&amp;" AB Equity","BID")</f>
        <v>23.29</v>
      </c>
      <c r="R147">
        <f>_xll.BDP(A147&amp;" AB Equity","ASK")</f>
        <v>23.38</v>
      </c>
      <c r="S147">
        <f>_xll.BDP(A147&amp;" AB Equity","CHG_PCT_MOV_AVG_200D")</f>
        <v>4.4389950000000002</v>
      </c>
      <c r="T147">
        <f>_xll.BDP(A147&amp;" AB Equity","HIGH_30D")</f>
        <v>22.99</v>
      </c>
      <c r="U147">
        <f>_xll.BDP(A147&amp;" AB Equity","LOW_30D")</f>
        <v>18.79</v>
      </c>
      <c r="V147" s="11" t="str" cm="1">
        <f t="array" aca="1" ref="V147" ca="1">_xll.BDH(A147&amp;" AB Equity","MOV_AVG_200D",TODAY()-32,TODAY()-32,"Days=T")</f>
        <v>#N/A N/A</v>
      </c>
      <c r="W147">
        <v>45.872799999999998</v>
      </c>
      <c r="X147">
        <f>IF(B147="","",_xlfn.SINGLE(_xll.BDP(A147&amp;" AB Equity","MOV_AVG_200D")))</f>
        <v>22.3767</v>
      </c>
    </row>
    <row r="148" spans="1:24" x14ac:dyDescent="0.25">
      <c r="A148" t="s">
        <v>336</v>
      </c>
      <c r="B148">
        <f>_xll.BDP(A148&amp;" AB Equity","LAST_PRICE")</f>
        <v>7.39</v>
      </c>
      <c r="C148">
        <f>_xll.BDP(A148&amp;" AB Equity","LAST_PRICE")</f>
        <v>7.39</v>
      </c>
      <c r="D148">
        <f>_xll.BDP(A148&amp;" AB Equity","RT_PX_CHG_PCT_1D")</f>
        <v>1.2329000234603882</v>
      </c>
      <c r="E148">
        <f>_xll.BDP(A148&amp;" AB Equity","CHG_PCT_1M_RT")</f>
        <v>-0.93830000000000002</v>
      </c>
      <c r="F148">
        <f>_xll.BDP(A148&amp;" AB Equity","CHG_PCT_YTD_RT")</f>
        <v>-26.1</v>
      </c>
      <c r="G148">
        <f>_xll.BDP(A148&amp;" AB Equity","YEST_LAST_TRADE")</f>
        <v>7.3</v>
      </c>
      <c r="H148">
        <f>_xll.BDP(A148&amp;" AB Equity","HIGH_52WEEK")</f>
        <v>13.98</v>
      </c>
      <c r="I148">
        <f>_xll.BDP(A148&amp;" AB Equity","LOW_52WEEK")</f>
        <v>7.21</v>
      </c>
      <c r="J148">
        <f>_xll.BDP(A148&amp;" AB Equity","VOLUME")</f>
        <v>61056</v>
      </c>
      <c r="K148">
        <f>_xll.BDP(A148&amp;" AB Equity","OPEN")</f>
        <v>7.35</v>
      </c>
      <c r="L148">
        <f>_xll.BDP(A148&amp;" AB Equity","LOW")</f>
        <v>7.29</v>
      </c>
      <c r="M148">
        <f>_xll.BDP(A148&amp;" AB Equity","HIGH")</f>
        <v>7.41</v>
      </c>
      <c r="N148">
        <f>_xll.BDP(A148&amp;" AB Equity","VWAP")</f>
        <v>7.3403</v>
      </c>
      <c r="O148" t="str">
        <f>_xll.BDP(A148&amp;" AB Equity","SAUDI_ARABIA_EXCHANGE_ID")</f>
        <v>2288</v>
      </c>
      <c r="P148">
        <f>_xll.BDP(A148&amp;" AB Equity","VOLUME_AVG_30D")</f>
        <v>78045.53</v>
      </c>
      <c r="Q148">
        <f>_xll.BDP(A148&amp;" AB Equity","BID")</f>
        <v>7.37</v>
      </c>
      <c r="R148">
        <f>_xll.BDP(A148&amp;" AB Equity","ASK")</f>
        <v>7.39</v>
      </c>
      <c r="S148">
        <f>_xll.BDP(A148&amp;" AB Equity","CHG_PCT_MOV_AVG_200D")</f>
        <v>-23.568470000000001</v>
      </c>
      <c r="T148">
        <f>_xll.BDP(A148&amp;" AB Equity","HIGH_30D")</f>
        <v>8</v>
      </c>
      <c r="U148">
        <f>_xll.BDP(A148&amp;" AB Equity","LOW_30D")</f>
        <v>7.21</v>
      </c>
      <c r="V148" s="11" t="str" cm="1">
        <f t="array" aca="1" ref="V148" ca="1">_xll.BDH(A148&amp;" AB Equity","MOV_AVG_200D",TODAY()-32,TODAY()-32,"Days=T")</f>
        <v>#N/A N/A</v>
      </c>
      <c r="W148">
        <v>45.909300000000002</v>
      </c>
      <c r="X148">
        <f>IF(B148="","",_xlfn.SINGLE(_xll.BDP(A148&amp;" AB Equity","MOV_AVG_200D")))</f>
        <v>9.5771999999999995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16.75</v>
      </c>
      <c r="C150">
        <f>_xll.BDP(A150&amp;" AB Equity","LAST_PRICE")</f>
        <v>16.75</v>
      </c>
      <c r="D150">
        <f>_xll.BDP(A150&amp;" AB Equity","RT_PX_CHG_PCT_1D")</f>
        <v>0.41969999670982361</v>
      </c>
      <c r="E150">
        <f>_xll.BDP(A150&amp;" AB Equity","CHG_PCT_1M_RT")</f>
        <v>-0.82889999999999997</v>
      </c>
      <c r="F150">
        <f>_xll.BDP(A150&amp;" AB Equity","CHG_PCT_YTD_RT")</f>
        <v>-2.8422000000000001</v>
      </c>
      <c r="G150">
        <f>_xll.BDP(A150&amp;" AB Equity","YEST_LAST_TRADE")</f>
        <v>16.68</v>
      </c>
      <c r="H150">
        <f>_xll.BDP(A150&amp;" AB Equity","HIGH_52WEEK")</f>
        <v>22.209</v>
      </c>
      <c r="I150">
        <f>_xll.BDP(A150&amp;" AB Equity","LOW_52WEEK")</f>
        <v>16.559999999999999</v>
      </c>
      <c r="J150">
        <f>_xll.BDP(A150&amp;" AB Equity","VOLUME")</f>
        <v>385842</v>
      </c>
      <c r="K150">
        <f>_xll.BDP(A150&amp;" AB Equity","OPEN")</f>
        <v>16.68</v>
      </c>
      <c r="L150">
        <f>_xll.BDP(A150&amp;" AB Equity","LOW")</f>
        <v>16.62</v>
      </c>
      <c r="M150">
        <f>_xll.BDP(A150&amp;" AB Equity","HIGH")</f>
        <v>16.809999999999999</v>
      </c>
      <c r="N150">
        <f>_xll.BDP(A150&amp;" AB Equity","VWAP")</f>
        <v>16.719000000000001</v>
      </c>
      <c r="O150" t="str">
        <f>_xll.BDP(A150&amp;" AB Equity","SAUDI_ARABIA_EXCHANGE_ID")</f>
        <v>4019</v>
      </c>
      <c r="P150">
        <f>_xll.BDP(A150&amp;" AB Equity","VOLUME_AVG_30D")</f>
        <v>510130.2</v>
      </c>
      <c r="Q150">
        <f>_xll.BDP(A150&amp;" AB Equity","BID")</f>
        <v>16.7</v>
      </c>
      <c r="R150">
        <f>_xll.BDP(A150&amp;" AB Equity","ASK")</f>
        <v>16.75</v>
      </c>
      <c r="S150">
        <f>_xll.BDP(A150&amp;" AB Equity","CHG_PCT_MOV_AVG_200D")</f>
        <v>-8.6986139999999992</v>
      </c>
      <c r="T150">
        <f>_xll.BDP(A150&amp;" AB Equity","HIGH_30D")</f>
        <v>18.100000000000001</v>
      </c>
      <c r="U150">
        <f>_xll.BDP(A150&amp;" AB Equity","LOW_30D")</f>
        <v>16.559999999999999</v>
      </c>
      <c r="V150" s="11" t="str" cm="1">
        <f t="array" aca="1" ref="V150" ca="1">_xll.BDH(A150&amp;" AB Equity","MOV_AVG_200D",TODAY()-32,TODAY()-32,"Days=T")</f>
        <v>#N/A N/A</v>
      </c>
      <c r="W150">
        <v>45.982999999999997</v>
      </c>
      <c r="X150">
        <f>IF(B150="","",_xlfn.SINGLE(_xll.BDP(A150&amp;" AB Equity","MOV_AVG_200D")))</f>
        <v>18.367740000000001</v>
      </c>
    </row>
    <row r="151" spans="1:24" x14ac:dyDescent="0.25">
      <c r="A151" t="s">
        <v>159</v>
      </c>
      <c r="B151">
        <f>_xll.BDP(A151&amp;" AB Equity","LAST_PRICE")</f>
        <v>29.38</v>
      </c>
      <c r="C151">
        <f>_xll.BDP(A151&amp;" AB Equity","LAST_PRICE")</f>
        <v>29.38</v>
      </c>
      <c r="D151">
        <f>_xll.BDP(A151&amp;" AB Equity","RT_PX_CHG_PCT_1D")</f>
        <v>0.34150001406669617</v>
      </c>
      <c r="E151">
        <f>_xll.BDP(A151&amp;" AB Equity","CHG_PCT_1M_RT")</f>
        <v>-3.2279</v>
      </c>
      <c r="F151">
        <f>_xll.BDP(A151&amp;" AB Equity","CHG_PCT_YTD_RT")</f>
        <v>-7.3769999999999998</v>
      </c>
      <c r="G151">
        <f>_xll.BDP(A151&amp;" AB Equity","YEST_LAST_TRADE")</f>
        <v>29.28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34091</v>
      </c>
      <c r="K151">
        <f>_xll.BDP(A151&amp;" AB Equity","OPEN")</f>
        <v>29.3</v>
      </c>
      <c r="L151">
        <f>_xll.BDP(A151&amp;" AB Equity","LOW")</f>
        <v>29.02</v>
      </c>
      <c r="M151">
        <f>_xll.BDP(A151&amp;" AB Equity","HIGH")</f>
        <v>29.6</v>
      </c>
      <c r="N151">
        <f>_xll.BDP(A151&amp;" AB Equity","VWAP")</f>
        <v>29.401399999999999</v>
      </c>
      <c r="O151" t="str">
        <f>_xll.BDP(A151&amp;" AB Equity","SAUDI_ARABIA_EXCHANGE_ID")</f>
        <v>4014</v>
      </c>
      <c r="P151">
        <f>_xll.BDP(A151&amp;" AB Equity","VOLUME_AVG_30D")</f>
        <v>53070.46</v>
      </c>
      <c r="Q151">
        <f>_xll.BDP(A151&amp;" AB Equity","BID")</f>
        <v>29.38</v>
      </c>
      <c r="R151">
        <f>_xll.BDP(A151&amp;" AB Equity","ASK")</f>
        <v>29.4</v>
      </c>
      <c r="S151">
        <f>_xll.BDP(A151&amp;" AB Equity","CHG_PCT_MOV_AVG_200D")</f>
        <v>-10.65208</v>
      </c>
      <c r="T151">
        <f>_xll.BDP(A151&amp;" AB Equity","HIGH_30D")</f>
        <v>32</v>
      </c>
      <c r="U151">
        <f>_xll.BDP(A151&amp;" AB Equity","LOW_30D")</f>
        <v>29.14</v>
      </c>
      <c r="V151" s="11" t="str" cm="1">
        <f t="array" aca="1" ref="V151" ca="1">_xll.BDH(A151&amp;" AB Equity","MOV_AVG_200D",TODAY()-32,TODAY()-32,"Days=T")</f>
        <v>#N/A N/A</v>
      </c>
      <c r="W151">
        <v>34.704599999999999</v>
      </c>
      <c r="X151">
        <f>IF(B151="","",_xlfn.SINGLE(_xll.BDP(A151&amp;" AB Equity","MOV_AVG_200D")))</f>
        <v>33.017000000000003</v>
      </c>
    </row>
    <row r="152" spans="1:24" x14ac:dyDescent="0.25">
      <c r="A152" t="s">
        <v>160</v>
      </c>
      <c r="B152">
        <f>_xll.BDP(A152&amp;" AB Equity","LAST_PRICE")</f>
        <v>31.86</v>
      </c>
      <c r="C152">
        <f>_xll.BDP(A152&amp;" AB Equity","LAST_PRICE")</f>
        <v>31.86</v>
      </c>
      <c r="D152">
        <f>_xll.BDP(A152&amp;" AB Equity","RT_PX_CHG_PCT_1D")</f>
        <v>-0.56180000305175781</v>
      </c>
      <c r="E152">
        <f>_xll.BDP(A152&amp;" AB Equity","CHG_PCT_1M_RT")</f>
        <v>-1.6667000000000001</v>
      </c>
      <c r="F152">
        <f>_xll.BDP(A152&amp;" AB Equity","CHG_PCT_YTD_RT")</f>
        <v>-2.1499000000000001</v>
      </c>
      <c r="G152">
        <f>_xll.BDP(A152&amp;" AB Equity","YEST_LAST_TRADE")</f>
        <v>32.04</v>
      </c>
      <c r="H152">
        <f>_xll.BDP(A152&amp;" AB Equity","HIGH_52WEEK")</f>
        <v>60.7</v>
      </c>
      <c r="I152">
        <f>_xll.BDP(A152&amp;" AB Equity","LOW_52WEEK")</f>
        <v>28.66</v>
      </c>
      <c r="J152">
        <f>_xll.BDP(A152&amp;" AB Equity","VOLUME")</f>
        <v>318029</v>
      </c>
      <c r="K152">
        <f>_xll.BDP(A152&amp;" AB Equity","OPEN")</f>
        <v>32.020000000000003</v>
      </c>
      <c r="L152">
        <f>_xll.BDP(A152&amp;" AB Equity","LOW")</f>
        <v>31.84</v>
      </c>
      <c r="M152">
        <f>_xll.BDP(A152&amp;" AB Equity","HIGH")</f>
        <v>32.299999999999997</v>
      </c>
      <c r="N152">
        <f>_xll.BDP(A152&amp;" AB Equity","VWAP")</f>
        <v>32.053400000000003</v>
      </c>
      <c r="O152" t="str">
        <f>_xll.BDP(A152&amp;" AB Equity","SAUDI_ARABIA_EXCHANGE_ID")</f>
        <v>4009</v>
      </c>
      <c r="P152">
        <f>_xll.BDP(A152&amp;" AB Equity","VOLUME_AVG_30D")</f>
        <v>394900.2</v>
      </c>
      <c r="Q152">
        <f>_xll.BDP(A152&amp;" AB Equity","BID")</f>
        <v>31.84</v>
      </c>
      <c r="R152">
        <f>_xll.BDP(A152&amp;" AB Equity","ASK")</f>
        <v>31.86</v>
      </c>
      <c r="S152">
        <f>_xll.BDP(A152&amp;" AB Equity","CHG_PCT_MOV_AVG_200D")</f>
        <v>-18.718779999999999</v>
      </c>
      <c r="T152">
        <f>_xll.BDP(A152&amp;" AB Equity","HIGH_30D")</f>
        <v>34.42</v>
      </c>
      <c r="U152">
        <f>_xll.BDP(A152&amp;" AB Equity","LOW_30D")</f>
        <v>31.52</v>
      </c>
      <c r="V152" s="11" t="str" cm="1">
        <f t="array" aca="1" ref="V152" ca="1">_xll.BDH(A152&amp;" AB Equity","MOV_AVG_200D",TODAY()-32,TODAY()-32,"Days=T")</f>
        <v>#N/A N/A</v>
      </c>
      <c r="W152">
        <v>34.688499999999998</v>
      </c>
      <c r="X152">
        <f>IF(B152="","",_xlfn.SINGLE(_xll.BDP(A152&amp;" AB Equity","MOV_AVG_200D")))</f>
        <v>39.418700000000001</v>
      </c>
    </row>
    <row r="153" spans="1:24" x14ac:dyDescent="0.25">
      <c r="A153" t="s">
        <v>161</v>
      </c>
      <c r="B153">
        <f>_xll.BDP(A153&amp;" AB Equity","LAST_PRICE")</f>
        <v>212</v>
      </c>
      <c r="C153">
        <f>_xll.BDP(A153&amp;" AB Equity","LAST_PRICE")</f>
        <v>212</v>
      </c>
      <c r="D153">
        <f>_xll.BDP(A153&amp;" AB Equity","RT_PX_CHG_PCT_1D")</f>
        <v>0.47389999032020569</v>
      </c>
      <c r="E153">
        <f>_xll.BDP(A153&amp;" AB Equity","CHG_PCT_1M_RT")</f>
        <v>-4.0724</v>
      </c>
      <c r="F153">
        <f>_xll.BDP(A153&amp;" AB Equity","CHG_PCT_YTD_RT")</f>
        <v>-17.509699999999999</v>
      </c>
      <c r="G153">
        <f>_xll.BDP(A153&amp;" AB Equity","YEST_LAST_TRADE")</f>
        <v>211</v>
      </c>
      <c r="H153">
        <f>_xll.BDP(A153&amp;" AB Equity","HIGH_52WEEK")</f>
        <v>281.2</v>
      </c>
      <c r="I153">
        <f>_xll.BDP(A153&amp;" AB Equity","LOW_52WEEK")</f>
        <v>210.1</v>
      </c>
      <c r="J153">
        <f>_xll.BDP(A153&amp;" AB Equity","VOLUME")</f>
        <v>258895</v>
      </c>
      <c r="K153">
        <f>_xll.BDP(A153&amp;" AB Equity","OPEN")</f>
        <v>211</v>
      </c>
      <c r="L153">
        <f>_xll.BDP(A153&amp;" AB Equity","LOW")</f>
        <v>210.1</v>
      </c>
      <c r="M153">
        <f>_xll.BDP(A153&amp;" AB Equity","HIGH")</f>
        <v>214.8</v>
      </c>
      <c r="N153">
        <f>_xll.BDP(A153&amp;" AB Equity","VWAP")</f>
        <v>212.43049999999999</v>
      </c>
      <c r="O153" t="str">
        <f>_xll.BDP(A153&amp;" AB Equity","SAUDI_ARABIA_EXCHANGE_ID")</f>
        <v>4013</v>
      </c>
      <c r="P153">
        <f>_xll.BDP(A153&amp;" AB Equity","VOLUME_AVG_30D")</f>
        <v>208833.8</v>
      </c>
      <c r="Q153">
        <f>_xll.BDP(A153&amp;" AB Equity","BID")</f>
        <v>212</v>
      </c>
      <c r="R153">
        <f>_xll.BDP(A153&amp;" AB Equity","ASK")</f>
        <v>212.6</v>
      </c>
      <c r="S153">
        <f>_xll.BDP(A153&amp;" AB Equity","CHG_PCT_MOV_AVG_200D")</f>
        <v>-13.621880000000001</v>
      </c>
      <c r="T153">
        <f>_xll.BDP(A153&amp;" AB Equity","HIGH_30D")</f>
        <v>225.2</v>
      </c>
      <c r="U153">
        <f>_xll.BDP(A153&amp;" AB Equity","LOW_30D")</f>
        <v>210.6</v>
      </c>
      <c r="V153" s="11" t="str" cm="1">
        <f t="array" aca="1" ref="V153" ca="1">_xll.BDH(A153&amp;" AB Equity","MOV_AVG_200D",TODAY()-32,TODAY()-32,"Days=T")</f>
        <v>#N/A N/A</v>
      </c>
      <c r="W153">
        <v>34.661299999999997</v>
      </c>
      <c r="X153">
        <f>IF(B153="","",_xlfn.SINGLE(_xll.BDP(A153&amp;" AB Equity","MOV_AVG_200D")))</f>
        <v>248.21100000000001</v>
      </c>
    </row>
    <row r="154" spans="1:24" x14ac:dyDescent="0.25">
      <c r="A154" t="s">
        <v>162</v>
      </c>
      <c r="B154">
        <f>_xll.BDP(A154&amp;" AB Equity","LAST_PRICE")</f>
        <v>8.18</v>
      </c>
      <c r="C154">
        <f>_xll.BDP(A154&amp;" AB Equity","LAST_PRICE")</f>
        <v>8.18</v>
      </c>
      <c r="D154">
        <f>_xll.BDP(A154&amp;" AB Equity","RT_PX_CHG_PCT_1D")</f>
        <v>0.86309999227523804</v>
      </c>
      <c r="E154">
        <f>_xll.BDP(A154&amp;" AB Equity","CHG_PCT_1M_RT")</f>
        <v>-7.6749000000000001</v>
      </c>
      <c r="F154">
        <f>_xll.BDP(A154&amp;" AB Equity","CHG_PCT_YTD_RT")</f>
        <v>27.613099999999999</v>
      </c>
      <c r="G154">
        <f>_xll.BDP(A154&amp;" AB Equity","YEST_LAST_TRADE")</f>
        <v>8.11</v>
      </c>
      <c r="H154">
        <f>_xll.BDP(A154&amp;" AB Equity","HIGH_52WEEK")</f>
        <v>8.98</v>
      </c>
      <c r="I154">
        <f>_xll.BDP(A154&amp;" AB Equity","LOW_52WEEK")</f>
        <v>6.06</v>
      </c>
      <c r="J154">
        <f>_xll.BDP(A154&amp;" AB Equity","VOLUME")</f>
        <v>2393261</v>
      </c>
      <c r="K154">
        <f>_xll.BDP(A154&amp;" AB Equity","OPEN")</f>
        <v>8.11</v>
      </c>
      <c r="L154">
        <f>_xll.BDP(A154&amp;" AB Equity","LOW")</f>
        <v>8.07</v>
      </c>
      <c r="M154">
        <f>_xll.BDP(A154&amp;" AB Equity","HIGH")</f>
        <v>8.1999999999999993</v>
      </c>
      <c r="N154">
        <f>_xll.BDP(A154&amp;" AB Equity","VWAP")</f>
        <v>8.1516000000000002</v>
      </c>
      <c r="O154" t="str">
        <f>_xll.BDP(A154&amp;" AB Equity","SAUDI_ARABIA_EXCHANGE_ID")</f>
        <v>2230</v>
      </c>
      <c r="P154">
        <f>_xll.BDP(A154&amp;" AB Equity","VOLUME_AVG_30D")</f>
        <v>5418279</v>
      </c>
      <c r="Q154">
        <f>_xll.BDP(A154&amp;" AB Equity","BID")</f>
        <v>8.1300000000000008</v>
      </c>
      <c r="R154">
        <f>_xll.BDP(A154&amp;" AB Equity","ASK")</f>
        <v>8.18</v>
      </c>
      <c r="S154">
        <f>_xll.BDP(A154&amp;" AB Equity","CHG_PCT_MOV_AVG_200D")</f>
        <v>8.5685450000000003</v>
      </c>
      <c r="T154">
        <f>_xll.BDP(A154&amp;" AB Equity","HIGH_30D")</f>
        <v>8.98</v>
      </c>
      <c r="U154">
        <f>_xll.BDP(A154&amp;" AB Equity","LOW_30D")</f>
        <v>8.07</v>
      </c>
      <c r="V154" s="11" t="str" cm="1">
        <f t="array" aca="1" ref="V154" ca="1">_xll.BDH(A154&amp;" AB Equity","MOV_AVG_200D",TODAY()-32,TODAY()-32,"Days=T")</f>
        <v>#N/A N/A</v>
      </c>
      <c r="W154">
        <v>34.631799999999998</v>
      </c>
      <c r="X154">
        <f>IF(B154="","",_xlfn.SINGLE(_xll.BDP(A154&amp;" AB Equity","MOV_AVG_200D")))</f>
        <v>7.5251999999999999</v>
      </c>
    </row>
    <row r="155" spans="1:24" x14ac:dyDescent="0.25">
      <c r="A155" t="s">
        <v>163</v>
      </c>
      <c r="B155">
        <f>_xll.BDP(A155&amp;" AB Equity","LAST_PRICE")</f>
        <v>119</v>
      </c>
      <c r="C155">
        <f>_xll.BDP(A155&amp;" AB Equity","LAST_PRICE")</f>
        <v>119</v>
      </c>
      <c r="D155">
        <f>_xll.BDP(A155&amp;" AB Equity","RT_PX_CHG_PCT_1D")</f>
        <v>0.50679999589920044</v>
      </c>
      <c r="E155">
        <f>_xll.BDP(A155&amp;" AB Equity","CHG_PCT_1M_RT")</f>
        <v>-2.8571</v>
      </c>
      <c r="F155">
        <f>_xll.BDP(A155&amp;" AB Equity","CHG_PCT_YTD_RT")</f>
        <v>-32.155099999999997</v>
      </c>
      <c r="G155">
        <f>_xll.BDP(A155&amp;" AB Equity","YEST_LAST_TRADE")</f>
        <v>118.4</v>
      </c>
      <c r="H155">
        <f>_xll.BDP(A155&amp;" AB Equity","HIGH_52WEEK")</f>
        <v>212</v>
      </c>
      <c r="I155">
        <f>_xll.BDP(A155&amp;" AB Equity","LOW_52WEEK")</f>
        <v>110</v>
      </c>
      <c r="J155">
        <f>_xll.BDP(A155&amp;" AB Equity","VOLUME")</f>
        <v>45440</v>
      </c>
      <c r="K155">
        <f>_xll.BDP(A155&amp;" AB Equity","OPEN")</f>
        <v>119.4</v>
      </c>
      <c r="L155">
        <f>_xll.BDP(A155&amp;" AB Equity","LOW")</f>
        <v>118</v>
      </c>
      <c r="M155">
        <f>_xll.BDP(A155&amp;" AB Equity","HIGH")</f>
        <v>119.8</v>
      </c>
      <c r="N155">
        <f>_xll.BDP(A155&amp;" AB Equity","VWAP")</f>
        <v>118.9997</v>
      </c>
      <c r="O155" t="str">
        <f>_xll.BDP(A155&amp;" AB Equity","SAUDI_ARABIA_EXCHANGE_ID")</f>
        <v>4018</v>
      </c>
      <c r="P155">
        <f>_xll.BDP(A155&amp;" AB Equity","VOLUME_AVG_30D")</f>
        <v>64395.37</v>
      </c>
      <c r="Q155">
        <f>_xll.BDP(A155&amp;" AB Equity","BID")</f>
        <v>118.2</v>
      </c>
      <c r="R155">
        <f>_xll.BDP(A155&amp;" AB Equity","ASK")</f>
        <v>119</v>
      </c>
      <c r="S155">
        <f>_xll.BDP(A155&amp;" AB Equity","CHG_PCT_MOV_AVG_200D")</f>
        <v>-23.44012</v>
      </c>
      <c r="T155">
        <f>_xll.BDP(A155&amp;" AB Equity","HIGH_30D")</f>
        <v>128.80000000000001</v>
      </c>
      <c r="U155">
        <f>_xll.BDP(A155&amp;" AB Equity","LOW_30D")</f>
        <v>110</v>
      </c>
      <c r="V155" s="11" t="str" cm="1">
        <f t="array" aca="1" ref="V155" ca="1">_xll.BDH(A155&amp;" AB Equity","MOV_AVG_200D",TODAY()-32,TODAY()-32,"Days=T")</f>
        <v>#N/A N/A</v>
      </c>
      <c r="W155">
        <v>34.600499999999997</v>
      </c>
      <c r="X155">
        <f>IF(B155="","",_xlfn.SINGLE(_xll.BDP(A155&amp;" AB Equity","MOV_AVG_200D")))</f>
        <v>155.56450000000001</v>
      </c>
    </row>
    <row r="156" spans="1:24" x14ac:dyDescent="0.25">
      <c r="A156" t="s">
        <v>164</v>
      </c>
      <c r="B156">
        <f>_xll.BDP(A156&amp;" AB Equity","LAST_PRICE")</f>
        <v>63.75</v>
      </c>
      <c r="C156">
        <f>_xll.BDP(A156&amp;" AB Equity","LAST_PRICE")</f>
        <v>63.75</v>
      </c>
      <c r="D156">
        <f>_xll.BDP(A156&amp;" AB Equity","RT_PX_CHG_PCT_1D")</f>
        <v>1.7558000087738037</v>
      </c>
      <c r="E156">
        <f>_xll.BDP(A156&amp;" AB Equity","CHG_PCT_1M_RT")</f>
        <v>-2.4483999999999999</v>
      </c>
      <c r="F156">
        <f>_xll.BDP(A156&amp;" AB Equity","CHG_PCT_YTD_RT")</f>
        <v>-4.3510999999999997</v>
      </c>
      <c r="G156">
        <f>_xll.BDP(A156&amp;" AB Equity","YEST_LAST_TRADE")</f>
        <v>62.65</v>
      </c>
      <c r="H156">
        <f>_xll.BDP(A156&amp;" AB Equity","HIGH_52WEEK")</f>
        <v>80.7</v>
      </c>
      <c r="I156">
        <f>_xll.BDP(A156&amp;" AB Equity","LOW_52WEEK")</f>
        <v>58.65</v>
      </c>
      <c r="J156">
        <f>_xll.BDP(A156&amp;" AB Equity","VOLUME")</f>
        <v>272122</v>
      </c>
      <c r="K156">
        <f>_xll.BDP(A156&amp;" AB Equity","OPEN")</f>
        <v>62.75</v>
      </c>
      <c r="L156">
        <f>_xll.BDP(A156&amp;" AB Equity","LOW")</f>
        <v>62.6</v>
      </c>
      <c r="M156">
        <f>_xll.BDP(A156&amp;" AB Equity","HIGH")</f>
        <v>63.75</v>
      </c>
      <c r="N156">
        <f>_xll.BDP(A156&amp;" AB Equity","VWAP")</f>
        <v>63.203000000000003</v>
      </c>
      <c r="O156" t="str">
        <f>_xll.BDP(A156&amp;" AB Equity","SAUDI_ARABIA_EXCHANGE_ID")</f>
        <v>4002</v>
      </c>
      <c r="P156">
        <f>_xll.BDP(A156&amp;" AB Equity","VOLUME_AVG_30D")</f>
        <v>351325.5</v>
      </c>
      <c r="Q156">
        <f>_xll.BDP(A156&amp;" AB Equity","BID")</f>
        <v>63</v>
      </c>
      <c r="R156">
        <f>_xll.BDP(A156&amp;" AB Equity","ASK")</f>
        <v>63.75</v>
      </c>
      <c r="S156">
        <f>_xll.BDP(A156&amp;" AB Equity","CHG_PCT_MOV_AVG_200D")</f>
        <v>-9.1816589999999998</v>
      </c>
      <c r="T156">
        <f>_xll.BDP(A156&amp;" AB Equity","HIGH_30D")</f>
        <v>67.849999999999994</v>
      </c>
      <c r="U156">
        <f>_xll.BDP(A156&amp;" AB Equity","LOW_30D")</f>
        <v>62.65</v>
      </c>
      <c r="V156" s="11" t="str" cm="1">
        <f t="array" aca="1" ref="V156" ca="1">_xll.BDH(A156&amp;" AB Equity","MOV_AVG_200D",TODAY()-32,TODAY()-32,"Days=T")</f>
        <v>#N/A N/A</v>
      </c>
      <c r="W156">
        <v>34.567399999999999</v>
      </c>
      <c r="X156">
        <f>IF(B156="","",_xlfn.SINGLE(_xll.BDP(A156&amp;" AB Equity","MOV_AVG_200D")))</f>
        <v>69.369249999999994</v>
      </c>
    </row>
    <row r="157" spans="1:24" x14ac:dyDescent="0.25">
      <c r="A157" t="s">
        <v>165</v>
      </c>
      <c r="B157">
        <f>_xll.BDP(A157&amp;" AB Equity","LAST_PRICE")</f>
        <v>36.72</v>
      </c>
      <c r="C157">
        <f>_xll.BDP(A157&amp;" AB Equity","LAST_PRICE")</f>
        <v>36.72</v>
      </c>
      <c r="D157">
        <f>_xll.BDP(A157&amp;" AB Equity","RT_PX_CHG_PCT_1D")</f>
        <v>-0.75679999589920044</v>
      </c>
      <c r="E157">
        <f>_xll.BDP(A157&amp;" AB Equity","CHG_PCT_1M_RT")</f>
        <v>1.3805000000000001</v>
      </c>
      <c r="F157">
        <f>_xll.BDP(A157&amp;" AB Equity","CHG_PCT_YTD_RT")</f>
        <v>7.6833</v>
      </c>
      <c r="G157">
        <f>_xll.BDP(A157&amp;" AB Equity","YEST_LAST_TRADE")</f>
        <v>37</v>
      </c>
      <c r="H157">
        <f>_xll.BDP(A157&amp;" AB Equity","HIGH_52WEEK")</f>
        <v>42.84</v>
      </c>
      <c r="I157">
        <f>_xll.BDP(A157&amp;" AB Equity","LOW_52WEEK")</f>
        <v>27.2</v>
      </c>
      <c r="J157">
        <f>_xll.BDP(A157&amp;" AB Equity","VOLUME")</f>
        <v>48955</v>
      </c>
      <c r="K157">
        <f>_xll.BDP(A157&amp;" AB Equity","OPEN")</f>
        <v>37</v>
      </c>
      <c r="L157">
        <f>_xll.BDP(A157&amp;" AB Equity","LOW")</f>
        <v>36.72</v>
      </c>
      <c r="M157">
        <f>_xll.BDP(A157&amp;" AB Equity","HIGH")</f>
        <v>37.26</v>
      </c>
      <c r="N157">
        <f>_xll.BDP(A157&amp;" AB Equity","VWAP")</f>
        <v>36.991599999999998</v>
      </c>
      <c r="O157" t="str">
        <f>_xll.BDP(A157&amp;" AB Equity","SAUDI_ARABIA_EXCHANGE_ID")</f>
        <v>4017</v>
      </c>
      <c r="P157">
        <f>_xll.BDP(A157&amp;" AB Equity","VOLUME_AVG_30D")</f>
        <v>123846.8</v>
      </c>
      <c r="Q157">
        <f>_xll.BDP(A157&amp;" AB Equity","BID")</f>
        <v>36.72</v>
      </c>
      <c r="R157">
        <f>_xll.BDP(A157&amp;" AB Equity","ASK")</f>
        <v>36.94</v>
      </c>
      <c r="S157">
        <f>_xll.BDP(A157&amp;" AB Equity","CHG_PCT_MOV_AVG_200D")</f>
        <v>2.263458</v>
      </c>
      <c r="T157">
        <f>_xll.BDP(A157&amp;" AB Equity","HIGH_30D")</f>
        <v>39.22</v>
      </c>
      <c r="U157">
        <f>_xll.BDP(A157&amp;" AB Equity","LOW_30D")</f>
        <v>33.840000000000003</v>
      </c>
      <c r="V157" s="11" t="str" cm="1">
        <f t="array" aca="1" ref="V157" ca="1">_xll.BDH(A157&amp;" AB Equity","MOV_AVG_200D",TODAY()-32,TODAY()-32,"Days=T")</f>
        <v>#N/A N/A</v>
      </c>
      <c r="W157">
        <v>256.04300000000001</v>
      </c>
      <c r="X157">
        <f>IF(B157="","",_xlfn.SINGLE(_xll.BDP(A157&amp;" AB Equity","MOV_AVG_200D")))</f>
        <v>36.298400000000001</v>
      </c>
    </row>
    <row r="158" spans="1:24" x14ac:dyDescent="0.25">
      <c r="A158" t="s">
        <v>166</v>
      </c>
      <c r="B158">
        <f>_xll.BDP(A158&amp;" AB Equity","LAST_PRICE")</f>
        <v>103.6</v>
      </c>
      <c r="C158">
        <f>_xll.BDP(A158&amp;" AB Equity","LAST_PRICE")</f>
        <v>103.6</v>
      </c>
      <c r="D158">
        <f>_xll.BDP(A158&amp;" AB Equity","RT_PX_CHG_PCT_1D")</f>
        <v>-2.26419997215271</v>
      </c>
      <c r="E158">
        <f>_xll.BDP(A158&amp;" AB Equity","CHG_PCT_1M_RT")</f>
        <v>4.6464999999999996</v>
      </c>
      <c r="F158">
        <f>_xll.BDP(A158&amp;" AB Equity","CHG_PCT_YTD_RT")</f>
        <v>-27.400099999999998</v>
      </c>
      <c r="G158">
        <f>_xll.BDP(A158&amp;" AB Equity","YEST_LAST_TRADE")</f>
        <v>106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102051</v>
      </c>
      <c r="K158">
        <f>_xll.BDP(A158&amp;" AB Equity","OPEN")</f>
        <v>105.2</v>
      </c>
      <c r="L158">
        <f>_xll.BDP(A158&amp;" AB Equity","LOW")</f>
        <v>103.3</v>
      </c>
      <c r="M158">
        <f>_xll.BDP(A158&amp;" AB Equity","HIGH")</f>
        <v>107</v>
      </c>
      <c r="N158">
        <f>_xll.BDP(A158&amp;" AB Equity","VWAP")</f>
        <v>105.27760000000001</v>
      </c>
      <c r="O158" t="str">
        <f>_xll.BDP(A158&amp;" AB Equity","SAUDI_ARABIA_EXCHANGE_ID")</f>
        <v>4005</v>
      </c>
      <c r="P158">
        <f>_xll.BDP(A158&amp;" AB Equity","VOLUME_AVG_30D")</f>
        <v>239485.5</v>
      </c>
      <c r="Q158">
        <f>_xll.BDP(A158&amp;" AB Equity","BID")</f>
        <v>103.6</v>
      </c>
      <c r="R158">
        <f>_xll.BDP(A158&amp;" AB Equity","ASK")</f>
        <v>103.9</v>
      </c>
      <c r="S158">
        <f>_xll.BDP(A158&amp;" AB Equity","CHG_PCT_MOV_AVG_200D")</f>
        <v>-24.80153</v>
      </c>
      <c r="T158">
        <f>_xll.BDP(A158&amp;" AB Equity","HIGH_30D")</f>
        <v>112.5</v>
      </c>
      <c r="U158">
        <f>_xll.BDP(A158&amp;" AB Equity","LOW_30D")</f>
        <v>94.9</v>
      </c>
      <c r="V158" s="11" t="str" cm="1">
        <f t="array" aca="1" ref="V158" ca="1">_xll.BDH(A158&amp;" AB Equity","MOV_AVG_200D",TODAY()-32,TODAY()-32,"Days=T")</f>
        <v>#N/A N/A</v>
      </c>
      <c r="W158">
        <v>255.95599999999999</v>
      </c>
      <c r="X158">
        <f>IF(B158="","",_xlfn.SINGLE(_xll.BDP(A158&amp;" AB Equity","MOV_AVG_200D")))</f>
        <v>141.35929999999999</v>
      </c>
    </row>
    <row r="159" spans="1:24" x14ac:dyDescent="0.25">
      <c r="A159" t="s">
        <v>167</v>
      </c>
      <c r="B159">
        <f>_xll.BDP(A159&amp;" AB Equity","LAST_PRICE")</f>
        <v>27.02</v>
      </c>
      <c r="C159">
        <f>_xll.BDP(A159&amp;" AB Equity","LAST_PRICE")</f>
        <v>27.02</v>
      </c>
      <c r="D159">
        <f>_xll.BDP(A159&amp;" AB Equity","RT_PX_CHG_PCT_1D")</f>
        <v>-3.0845999717712402</v>
      </c>
      <c r="E159">
        <f>_xll.BDP(A159&amp;" AB Equity","CHG_PCT_1M_RT")</f>
        <v>0.74570000000000003</v>
      </c>
      <c r="F159">
        <f>_xll.BDP(A159&amp;" AB Equity","CHG_PCT_YTD_RT")</f>
        <v>-3.431</v>
      </c>
      <c r="G159">
        <f>_xll.BDP(A159&amp;" AB Equity","YEST_LAST_TRADE")</f>
        <v>27.88</v>
      </c>
      <c r="H159">
        <f>_xll.BDP(A159&amp;" AB Equity","HIGH_52WEEK")</f>
        <v>38.799999999999997</v>
      </c>
      <c r="I159">
        <f>_xll.BDP(A159&amp;" AB Equity","LOW_52WEEK")</f>
        <v>23.42</v>
      </c>
      <c r="J159">
        <f>_xll.BDP(A159&amp;" AB Equity","VOLUME")</f>
        <v>167063</v>
      </c>
      <c r="K159">
        <f>_xll.BDP(A159&amp;" AB Equity","OPEN")</f>
        <v>27.86</v>
      </c>
      <c r="L159">
        <f>_xll.BDP(A159&amp;" AB Equity","LOW")</f>
        <v>27.02</v>
      </c>
      <c r="M159">
        <f>_xll.BDP(A159&amp;" AB Equity","HIGH")</f>
        <v>27.92</v>
      </c>
      <c r="N159">
        <f>_xll.BDP(A159&amp;" AB Equity","VWAP")</f>
        <v>27.399699999999999</v>
      </c>
      <c r="O159" t="str">
        <f>_xll.BDP(A159&amp;" AB Equity","SAUDI_ARABIA_EXCHANGE_ID")</f>
        <v>4007</v>
      </c>
      <c r="P159">
        <f>_xll.BDP(A159&amp;" AB Equity","VOLUME_AVG_30D")</f>
        <v>201642</v>
      </c>
      <c r="Q159">
        <f>_xll.BDP(A159&amp;" AB Equity","BID")</f>
        <v>27.02</v>
      </c>
      <c r="R159">
        <f>_xll.BDP(A159&amp;" AB Equity","ASK")</f>
        <v>27.08</v>
      </c>
      <c r="S159">
        <f>_xll.BDP(A159&amp;" AB Equity","CHG_PCT_MOV_AVG_200D")</f>
        <v>-3.263547</v>
      </c>
      <c r="T159">
        <f>_xll.BDP(A159&amp;" AB Equity","HIGH_30D")</f>
        <v>28.96</v>
      </c>
      <c r="U159">
        <f>_xll.BDP(A159&amp;" AB Equity","LOW_30D")</f>
        <v>25.26</v>
      </c>
      <c r="V159" s="11" t="str" cm="1">
        <f t="array" aca="1" ref="V159" ca="1">_xll.BDH(A159&amp;" AB Equity","MOV_AVG_200D",TODAY()-32,TODAY()-32,"Days=T")</f>
        <v>#N/A N/A</v>
      </c>
      <c r="W159">
        <v>166.4965</v>
      </c>
      <c r="X159">
        <f>IF(B159="","",_xlfn.SINGLE(_xll.BDP(A159&amp;" AB Equity","MOV_AVG_200D")))</f>
        <v>28.717199999999998</v>
      </c>
    </row>
    <row r="160" spans="1:24" x14ac:dyDescent="0.25">
      <c r="A160" t="s">
        <v>168</v>
      </c>
      <c r="B160">
        <f>_xll.BDP(A160&amp;" AB Equity","LAST_PRICE")</f>
        <v>109.8</v>
      </c>
      <c r="C160">
        <f>_xll.BDP(A160&amp;" AB Equity","LAST_PRICE")</f>
        <v>109.8</v>
      </c>
      <c r="D160">
        <f>_xll.BDP(A160&amp;" AB Equity","RT_PX_CHG_PCT_1D")</f>
        <v>-0.1817999929189682</v>
      </c>
      <c r="E160">
        <f>_xll.BDP(A160&amp;" AB Equity","CHG_PCT_1M_RT")</f>
        <v>-1.2589999999999999</v>
      </c>
      <c r="F160">
        <f>_xll.BDP(A160&amp;" AB Equity","CHG_PCT_YTD_RT")</f>
        <v>-12.51</v>
      </c>
      <c r="G160">
        <f>_xll.BDP(A160&amp;" AB Equity","YEST_LAST_TRADE")</f>
        <v>110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82251</v>
      </c>
      <c r="K160">
        <f>_xll.BDP(A160&amp;" AB Equity","OPEN")</f>
        <v>110</v>
      </c>
      <c r="L160">
        <f>_xll.BDP(A160&amp;" AB Equity","LOW")</f>
        <v>108.7</v>
      </c>
      <c r="M160">
        <f>_xll.BDP(A160&amp;" AB Equity","HIGH")</f>
        <v>111</v>
      </c>
      <c r="N160">
        <f>_xll.BDP(A160&amp;" AB Equity","VWAP")</f>
        <v>109.7715</v>
      </c>
      <c r="O160" t="str">
        <f>_xll.BDP(A160&amp;" AB Equity","SAUDI_ARABIA_EXCHANGE_ID")</f>
        <v>4004</v>
      </c>
      <c r="P160">
        <f>_xll.BDP(A160&amp;" AB Equity","VOLUME_AVG_30D")</f>
        <v>124997.5</v>
      </c>
      <c r="Q160">
        <f>_xll.BDP(A160&amp;" AB Equity","BID")</f>
        <v>109.5</v>
      </c>
      <c r="R160">
        <f>_xll.BDP(A160&amp;" AB Equity","ASK")</f>
        <v>109.8</v>
      </c>
      <c r="S160">
        <f>_xll.BDP(A160&amp;" AB Equity","CHG_PCT_MOV_AVG_200D")</f>
        <v>-13.175269999999999</v>
      </c>
      <c r="T160">
        <f>_xll.BDP(A160&amp;" AB Equity","HIGH_30D")</f>
        <v>117.6</v>
      </c>
      <c r="U160">
        <f>_xll.BDP(A160&amp;" AB Equity","LOW_30D")</f>
        <v>102.5</v>
      </c>
      <c r="V160" s="11" t="str" cm="1">
        <f t="array" aca="1" ref="V160" ca="1">_xll.BDH(A160&amp;" AB Equity","MOV_AVG_200D",TODAY()-32,TODAY()-32,"Days=T")</f>
        <v>#N/A N/A</v>
      </c>
      <c r="W160">
        <v>166.41</v>
      </c>
      <c r="X160">
        <f>IF(B160="","",_xlfn.SINGLE(_xll.BDP(A160&amp;" AB Equity","MOV_AVG_200D")))</f>
        <v>126.34650000000001</v>
      </c>
    </row>
    <row r="161" spans="1:24" x14ac:dyDescent="0.25">
      <c r="A161" t="s">
        <v>419</v>
      </c>
      <c r="B161">
        <f>_xll.BDP(A161&amp;" AB Equity","LAST_PRICE")</f>
        <v>5.7</v>
      </c>
      <c r="C161">
        <f>_xll.BDP(A161&amp;" AB Equity","LAST_PRICE")</f>
        <v>5.7</v>
      </c>
      <c r="D161">
        <f>_xll.BDP(A161&amp;" AB Equity","RT_PX_CHG_PCT_1D")</f>
        <v>3.2609000205993652</v>
      </c>
      <c r="E161">
        <f>_xll.BDP(A161&amp;" AB Equity","CHG_PCT_1M_RT")</f>
        <v>-1.2132000000000001</v>
      </c>
      <c r="F161">
        <f>_xll.BDP(A161&amp;" AB Equity","CHG_PCT_YTD_RT")</f>
        <v>-6.7103000000000002</v>
      </c>
      <c r="G161">
        <f>_xll.BDP(A161&amp;" AB Equity","YEST_LAST_TRADE")</f>
        <v>5.52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2283325</v>
      </c>
      <c r="K161">
        <f>_xll.BDP(A161&amp;" AB Equity","OPEN")</f>
        <v>5.53</v>
      </c>
      <c r="L161">
        <f>_xll.BDP(A161&amp;" AB Equity","LOW")</f>
        <v>5.5</v>
      </c>
      <c r="M161">
        <f>_xll.BDP(A161&amp;" AB Equity","HIGH")</f>
        <v>5.85</v>
      </c>
      <c r="N161">
        <f>_xll.BDP(A161&amp;" AB Equity","VWAP")</f>
        <v>5.7089999999999996</v>
      </c>
      <c r="O161" t="str">
        <f>_xll.BDP(A161&amp;" AB Equity","SAUDI_ARABIA_EXCHANGE_ID")</f>
        <v>4021</v>
      </c>
      <c r="P161">
        <f>_xll.BDP(A161&amp;" AB Equity","VOLUME_AVG_30D")</f>
        <v>839115.9</v>
      </c>
      <c r="Q161">
        <f>_xll.BDP(A161&amp;" AB Equity","BID")</f>
        <v>5.64</v>
      </c>
      <c r="R161">
        <f>_xll.BDP(A161&amp;" AB Equity","ASK")</f>
        <v>5.7</v>
      </c>
      <c r="S161">
        <f>_xll.BDP(A161&amp;" AB Equity","CHG_PCT_MOV_AVG_200D")</f>
        <v>-12.55846</v>
      </c>
      <c r="T161">
        <f>_xll.BDP(A161&amp;" AB Equity","HIGH_30D")</f>
        <v>5.97</v>
      </c>
      <c r="U161">
        <f>_xll.BDP(A161&amp;" AB Equity","LOW_30D")</f>
        <v>5.18</v>
      </c>
      <c r="V161" s="11" t="str" cm="1">
        <f t="array" aca="1" ref="V161" ca="1">_xll.BDH(A161&amp;" AB Equity","MOV_AVG_200D",TODAY()-32,TODAY()-32,"Days=T")</f>
        <v>#N/A N/A</v>
      </c>
      <c r="W161">
        <v>31.037299999999998</v>
      </c>
      <c r="X161">
        <f>IF(B161="","",_xlfn.SINGLE(_xll.BDP(A161&amp;" AB Equity","MOV_AVG_200D")))</f>
        <v>6.5529500000000001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130.80000000000001</v>
      </c>
      <c r="C163">
        <f>_xll.BDP(A163&amp;" AB Equity","LAST_PRICE")</f>
        <v>130.80000000000001</v>
      </c>
      <c r="D163">
        <f>_xll.BDP(A163&amp;" AB Equity","RT_PX_CHG_PCT_1D")</f>
        <v>-1.2085000276565552</v>
      </c>
      <c r="E163">
        <f>_xll.BDP(A163&amp;" AB Equity","CHG_PCT_1M_RT")</f>
        <v>-4.1055999999999999</v>
      </c>
      <c r="F163">
        <f>_xll.BDP(A163&amp;" AB Equity","CHG_PCT_YTD_RT")</f>
        <v>-1.1337999999999999</v>
      </c>
      <c r="G163">
        <f>_xll.BDP(A163&amp;" AB Equity","YEST_LAST_TRADE")</f>
        <v>132.4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59899</v>
      </c>
      <c r="K163">
        <f>_xll.BDP(A163&amp;" AB Equity","OPEN")</f>
        <v>132.9</v>
      </c>
      <c r="L163">
        <f>_xll.BDP(A163&amp;" AB Equity","LOW")</f>
        <v>130.30000000000001</v>
      </c>
      <c r="M163">
        <f>_xll.BDP(A163&amp;" AB Equity","HIGH")</f>
        <v>132.9</v>
      </c>
      <c r="N163">
        <f>_xll.BDP(A163&amp;" AB Equity","VWAP")</f>
        <v>131.15899999999999</v>
      </c>
      <c r="O163" t="str">
        <f>_xll.BDP(A163&amp;" AB Equity","SAUDI_ARABIA_EXCHANGE_ID")</f>
        <v>4165</v>
      </c>
      <c r="P163">
        <f>_xll.BDP(A163&amp;" AB Equity","VOLUME_AVG_30D")</f>
        <v>65983.899999999994</v>
      </c>
      <c r="Q163">
        <f>_xll.BDP(A163&amp;" AB Equity","BID")</f>
        <v>130.80000000000001</v>
      </c>
      <c r="R163">
        <f>_xll.BDP(A163&amp;" AB Equity","ASK")</f>
        <v>131.19999999999999</v>
      </c>
      <c r="S163">
        <f>_xll.BDP(A163&amp;" AB Equity","CHG_PCT_MOV_AVG_200D")</f>
        <v>-7.327826</v>
      </c>
      <c r="T163">
        <f>_xll.BDP(A163&amp;" AB Equity","HIGH_30D")</f>
        <v>143.5</v>
      </c>
      <c r="U163">
        <f>_xll.BDP(A163&amp;" AB Equity","LOW_30D")</f>
        <v>130.19999999999999</v>
      </c>
      <c r="V163" s="11" t="str" cm="1">
        <f t="array" aca="1" ref="V163" ca="1">_xll.BDH(A163&amp;" AB Equity","MOV_AVG_200D",TODAY()-32,TODAY()-32,"Days=T")</f>
        <v>#N/A N/A</v>
      </c>
      <c r="W163">
        <v>30.929200000000002</v>
      </c>
      <c r="X163">
        <f>IF(B163="","",_xlfn.SINGLE(_xll.BDP(A163&amp;" AB Equity","MOV_AVG_200D")))</f>
        <v>141.35849999999999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13.39</v>
      </c>
      <c r="C165">
        <f>_xll.BDP(A165&amp;" AB Equity","LAST_PRICE")</f>
        <v>13.39</v>
      </c>
      <c r="D165">
        <f>_xll.BDP(A165&amp;" AB Equity","RT_PX_CHG_PCT_1D")</f>
        <v>2.6840000152587891</v>
      </c>
      <c r="E165">
        <f>_xll.BDP(A165&amp;" AB Equity","CHG_PCT_1M_RT")</f>
        <v>10.8444</v>
      </c>
      <c r="F165">
        <f>_xll.BDP(A165&amp;" AB Equity","CHG_PCT_YTD_RT")</f>
        <v>5.2672999999999996</v>
      </c>
      <c r="G165">
        <f>_xll.BDP(A165&amp;" AB Equity","YEST_LAST_TRADE")</f>
        <v>13.04</v>
      </c>
      <c r="H165">
        <f>_xll.BDP(A165&amp;" AB Equity","HIGH_52WEEK")</f>
        <v>18.32</v>
      </c>
      <c r="I165">
        <f>_xll.BDP(A165&amp;" AB Equity","LOW_52WEEK")</f>
        <v>11.37</v>
      </c>
      <c r="J165">
        <f>_xll.BDP(A165&amp;" AB Equity","VOLUME")</f>
        <v>314041</v>
      </c>
      <c r="K165">
        <f>_xll.BDP(A165&amp;" AB Equity","OPEN")</f>
        <v>13.23</v>
      </c>
      <c r="L165">
        <f>_xll.BDP(A165&amp;" AB Equity","LOW")</f>
        <v>13.05</v>
      </c>
      <c r="M165">
        <f>_xll.BDP(A165&amp;" AB Equity","HIGH")</f>
        <v>13.58</v>
      </c>
      <c r="N165">
        <f>_xll.BDP(A165&amp;" AB Equity","VWAP")</f>
        <v>13.3863</v>
      </c>
      <c r="O165" t="str">
        <f>_xll.BDP(A165&amp;" AB Equity","SAUDI_ARABIA_EXCHANGE_ID")</f>
        <v>8300</v>
      </c>
      <c r="P165">
        <f>_xll.BDP(A165&amp;" AB Equity","VOLUME_AVG_30D")</f>
        <v>295072.3</v>
      </c>
      <c r="Q165">
        <f>_xll.BDP(A165&amp;" AB Equity","BID")</f>
        <v>13.33</v>
      </c>
      <c r="R165">
        <f>_xll.BDP(A165&amp;" AB Equity","ASK")</f>
        <v>13.39</v>
      </c>
      <c r="S165">
        <f>_xll.BDP(A165&amp;" AB Equity","CHG_PCT_MOV_AVG_200D")</f>
        <v>-0.48797360000000001</v>
      </c>
      <c r="T165">
        <f>_xll.BDP(A165&amp;" AB Equity","HIGH_30D")</f>
        <v>13.95</v>
      </c>
      <c r="U165">
        <f>_xll.BDP(A165&amp;" AB Equity","LOW_30D")</f>
        <v>12</v>
      </c>
      <c r="V165" s="11" t="str" cm="1">
        <f t="array" aca="1" ref="V165" ca="1">_xll.BDH(A165&amp;" AB Equity","MOV_AVG_200D",TODAY()-32,TODAY()-32,"Days=T")</f>
        <v>#N/A N/A</v>
      </c>
      <c r="W165">
        <v>6.7812000000000001</v>
      </c>
      <c r="X165">
        <f>IF(B165="","",_xlfn.SINGLE(_xll.BDP(A165&amp;" AB Equity","MOV_AVG_200D")))</f>
        <v>13.556150000000001</v>
      </c>
    </row>
    <row r="166" spans="1:24" x14ac:dyDescent="0.25">
      <c r="A166" t="s">
        <v>173</v>
      </c>
      <c r="B166">
        <f>_xll.BDP(A166&amp;" AB Equity","LAST_PRICE")</f>
        <v>51.9</v>
      </c>
      <c r="C166">
        <f>_xll.BDP(A166&amp;" AB Equity","LAST_PRICE")</f>
        <v>51.9</v>
      </c>
      <c r="D166">
        <f>_xll.BDP(A166&amp;" AB Equity","RT_PX_CHG_PCT_1D")</f>
        <v>-2.0755000114440918</v>
      </c>
      <c r="E166">
        <f>_xll.BDP(A166&amp;" AB Equity","CHG_PCT_1M_RT")</f>
        <v>-4.5077999999999996</v>
      </c>
      <c r="F166">
        <f>_xll.BDP(A166&amp;" AB Equity","CHG_PCT_YTD_RT")</f>
        <v>33.418999999999997</v>
      </c>
      <c r="G166">
        <f>_xll.BDP(A166&amp;" AB Equity","YEST_LAST_TRADE")</f>
        <v>53</v>
      </c>
      <c r="H166">
        <f>_xll.BDP(A166&amp;" AB Equity","HIGH_52WEEK")</f>
        <v>66.400000000000006</v>
      </c>
      <c r="I166">
        <f>_xll.BDP(A166&amp;" AB Equity","LOW_52WEEK")</f>
        <v>33.75</v>
      </c>
      <c r="J166">
        <f>_xll.BDP(A166&amp;" AB Equity","VOLUME")</f>
        <v>279966</v>
      </c>
      <c r="K166">
        <f>_xll.BDP(A166&amp;" AB Equity","OPEN")</f>
        <v>53</v>
      </c>
      <c r="L166">
        <f>_xll.BDP(A166&amp;" AB Equity","LOW")</f>
        <v>51.9</v>
      </c>
      <c r="M166">
        <f>_xll.BDP(A166&amp;" AB Equity","HIGH")</f>
        <v>53.2</v>
      </c>
      <c r="N166">
        <f>_xll.BDP(A166&amp;" AB Equity","VWAP")</f>
        <v>52.329700000000003</v>
      </c>
      <c r="O166" t="str">
        <f>_xll.BDP(A166&amp;" AB Equity","SAUDI_ARABIA_EXCHANGE_ID")</f>
        <v>8230</v>
      </c>
      <c r="P166">
        <f>_xll.BDP(A166&amp;" AB Equity","VOLUME_AVG_30D")</f>
        <v>506366.8</v>
      </c>
      <c r="Q166">
        <f>_xll.BDP(A166&amp;" AB Equity","BID")</f>
        <v>51.9</v>
      </c>
      <c r="R166">
        <f>_xll.BDP(A166&amp;" AB Equity","ASK")</f>
        <v>52.1</v>
      </c>
      <c r="S166">
        <f>_xll.BDP(A166&amp;" AB Equity","CHG_PCT_MOV_AVG_200D")</f>
        <v>4.7544740000000001</v>
      </c>
      <c r="T166">
        <f>_xll.BDP(A166&amp;" AB Equity","HIGH_30D")</f>
        <v>61.95</v>
      </c>
      <c r="U166">
        <f>_xll.BDP(A166&amp;" AB Equity","LOW_30D")</f>
        <v>50.5</v>
      </c>
      <c r="V166" s="11" t="str" cm="1">
        <f t="array" aca="1" ref="V166" ca="1">_xll.BDH(A166&amp;" AB Equity","MOV_AVG_200D",TODAY()-32,TODAY()-32,"Days=T")</f>
        <v>#N/A N/A</v>
      </c>
      <c r="W166">
        <v>102.2355</v>
      </c>
      <c r="X166">
        <f>IF(B166="","",_xlfn.SINGLE(_xll.BDP(A166&amp;" AB Equity","MOV_AVG_200D")))</f>
        <v>49.973999999999997</v>
      </c>
    </row>
    <row r="167" spans="1:24" x14ac:dyDescent="0.25">
      <c r="A167" t="s">
        <v>174</v>
      </c>
      <c r="B167">
        <f>_xll.BDP(A167&amp;" AB Equity","LAST_PRICE")</f>
        <v>25.8</v>
      </c>
      <c r="C167">
        <f>_xll.BDP(A167&amp;" AB Equity","LAST_PRICE")</f>
        <v>25.8</v>
      </c>
      <c r="D167">
        <f>_xll.BDP(A167&amp;" AB Equity","RT_PX_CHG_PCT_1D")</f>
        <v>-1.4515000581741333</v>
      </c>
      <c r="E167">
        <f>_xll.BDP(A167&amp;" AB Equity","CHG_PCT_1M_RT")</f>
        <v>-1.9757</v>
      </c>
      <c r="F167">
        <f>_xll.BDP(A167&amp;" AB Equity","CHG_PCT_YTD_RT")</f>
        <v>-3.8031000000000001</v>
      </c>
      <c r="G167">
        <f>_xll.BDP(A167&amp;" AB Equity","YEST_LAST_TRADE")</f>
        <v>26.18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715101</v>
      </c>
      <c r="K167">
        <f>_xll.BDP(A167&amp;" AB Equity","OPEN")</f>
        <v>26.22</v>
      </c>
      <c r="L167">
        <f>_xll.BDP(A167&amp;" AB Equity","LOW")</f>
        <v>25.6</v>
      </c>
      <c r="M167">
        <f>_xll.BDP(A167&amp;" AB Equity","HIGH")</f>
        <v>26.3</v>
      </c>
      <c r="N167">
        <f>_xll.BDP(A167&amp;" AB Equity","VWAP")</f>
        <v>25.866900000000001</v>
      </c>
      <c r="O167" t="str">
        <f>_xll.BDP(A167&amp;" AB Equity","SAUDI_ARABIA_EXCHANGE_ID")</f>
        <v>8200</v>
      </c>
      <c r="P167">
        <f>_xll.BDP(A167&amp;" AB Equity","VOLUME_AVG_30D")</f>
        <v>454231.8</v>
      </c>
      <c r="Q167">
        <f>_xll.BDP(A167&amp;" AB Equity","BID")</f>
        <v>25.78</v>
      </c>
      <c r="R167">
        <f>_xll.BDP(A167&amp;" AB Equity","ASK")</f>
        <v>25.8</v>
      </c>
      <c r="S167">
        <f>_xll.BDP(A167&amp;" AB Equity","CHG_PCT_MOV_AVG_200D")</f>
        <v>-8.1254240000000006</v>
      </c>
      <c r="T167">
        <f>_xll.BDP(A167&amp;" AB Equity","HIGH_30D")</f>
        <v>27.68</v>
      </c>
      <c r="U167">
        <f>_xll.BDP(A167&amp;" AB Equity","LOW_30D")</f>
        <v>25.46</v>
      </c>
      <c r="V167" s="11" t="str" cm="1">
        <f t="array" aca="1" ref="V167" ca="1">_xll.BDH(A167&amp;" AB Equity","MOV_AVG_200D",TODAY()-32,TODAY()-32,"Days=T")</f>
        <v>#N/A N/A</v>
      </c>
      <c r="W167">
        <v>29.6905</v>
      </c>
      <c r="X167">
        <f>IF(B167="","",_xlfn.SINGLE(_xll.BDP(A167&amp;" AB Equity","MOV_AVG_200D")))</f>
        <v>28.081759999999999</v>
      </c>
    </row>
    <row r="168" spans="1:24" x14ac:dyDescent="0.25">
      <c r="A168" t="s">
        <v>175</v>
      </c>
      <c r="B168">
        <f>_xll.BDP(A168&amp;" AB Equity","LAST_PRICE")</f>
        <v>8.86</v>
      </c>
      <c r="C168">
        <f>_xll.BDP(A168&amp;" AB Equity","LAST_PRICE")</f>
        <v>8.86</v>
      </c>
      <c r="D168">
        <f>_xll.BDP(A168&amp;" AB Equity","RT_PX_CHG_PCT_1D")</f>
        <v>4.2353000640869141</v>
      </c>
      <c r="E168">
        <f>_xll.BDP(A168&amp;" AB Equity","CHG_PCT_1M_RT")</f>
        <v>5.1007999999999996</v>
      </c>
      <c r="F168">
        <f>_xll.BDP(A168&amp;" AB Equity","CHG_PCT_YTD_RT")</f>
        <v>-4.5259</v>
      </c>
      <c r="G168">
        <f>_xll.BDP(A168&amp;" AB Equity","YEST_LAST_TRADE")</f>
        <v>8.5</v>
      </c>
      <c r="H168">
        <f>_xll.BDP(A168&amp;" AB Equity","HIGH_52WEEK")</f>
        <v>12.62</v>
      </c>
      <c r="I168">
        <f>_xll.BDP(A168&amp;" AB Equity","LOW_52WEEK")</f>
        <v>7.96</v>
      </c>
      <c r="J168">
        <f>_xll.BDP(A168&amp;" AB Equity","VOLUME")</f>
        <v>1359453</v>
      </c>
      <c r="K168">
        <f>_xll.BDP(A168&amp;" AB Equity","OPEN")</f>
        <v>8.56</v>
      </c>
      <c r="L168">
        <f>_xll.BDP(A168&amp;" AB Equity","LOW")</f>
        <v>8.56</v>
      </c>
      <c r="M168">
        <f>_xll.BDP(A168&amp;" AB Equity","HIGH")</f>
        <v>9.1199999999999992</v>
      </c>
      <c r="N168">
        <f>_xll.BDP(A168&amp;" AB Equity","VWAP")</f>
        <v>8.9339999999999993</v>
      </c>
      <c r="O168" t="str">
        <f>_xll.BDP(A168&amp;" AB Equity","SAUDI_ARABIA_EXCHANGE_ID")</f>
        <v>8160</v>
      </c>
      <c r="P168">
        <f>_xll.BDP(A168&amp;" AB Equity","VOLUME_AVG_30D")</f>
        <v>63576.7</v>
      </c>
      <c r="Q168">
        <f>_xll.BDP(A168&amp;" AB Equity","BID")</f>
        <v>8.86</v>
      </c>
      <c r="R168">
        <f>_xll.BDP(A168&amp;" AB Equity","ASK")</f>
        <v>8.8699999999999992</v>
      </c>
      <c r="S168">
        <f>_xll.BDP(A168&amp;" AB Equity","CHG_PCT_MOV_AVG_200D")</f>
        <v>-5.3092920000000001</v>
      </c>
      <c r="T168">
        <f>_xll.BDP(A168&amp;" AB Equity","HIGH_30D")</f>
        <v>8.56</v>
      </c>
      <c r="U168">
        <f>_xll.BDP(A168&amp;" AB Equity","LOW_30D")</f>
        <v>8</v>
      </c>
      <c r="V168" s="11" t="str" cm="1">
        <f t="array" aca="1" ref="V168" ca="1">_xll.BDH(A168&amp;" AB Equity","MOV_AVG_200D",TODAY()-32,TODAY()-32,"Days=T")</f>
        <v>#N/A N/A</v>
      </c>
      <c r="W168">
        <v>29.667200000000001</v>
      </c>
      <c r="X168">
        <f>IF(B168="","",_xlfn.SINGLE(_xll.BDP(A168&amp;" AB Equity","MOV_AVG_200D")))</f>
        <v>9.3779000000000003</v>
      </c>
    </row>
    <row r="169" spans="1:24" x14ac:dyDescent="0.25">
      <c r="A169" t="s">
        <v>176</v>
      </c>
      <c r="B169">
        <f>_xll.BDP(A169&amp;" AB Equity","LAST_PRICE")</f>
        <v>10.46</v>
      </c>
      <c r="C169">
        <f>_xll.BDP(A169&amp;" AB Equity","LAST_PRICE")</f>
        <v>10.46</v>
      </c>
      <c r="D169">
        <f>_xll.BDP(A169&amp;" AB Equity","RT_PX_CHG_PCT_1D")</f>
        <v>2.8515000343322754</v>
      </c>
      <c r="E169">
        <f>_xll.BDP(A169&amp;" AB Equity","CHG_PCT_1M_RT")</f>
        <v>5.1256000000000004</v>
      </c>
      <c r="F169">
        <f>_xll.BDP(A169&amp;" AB Equity","CHG_PCT_YTD_RT")</f>
        <v>2.5489999999999999</v>
      </c>
      <c r="G169">
        <f>_xll.BDP(A169&amp;" AB Equity","YEST_LAST_TRADE")</f>
        <v>10.17</v>
      </c>
      <c r="H169">
        <f>_xll.BDP(A169&amp;" AB Equity","HIGH_52WEEK")</f>
        <v>17.68</v>
      </c>
      <c r="I169">
        <f>_xll.BDP(A169&amp;" AB Equity","LOW_52WEEK")</f>
        <v>8.73</v>
      </c>
      <c r="J169">
        <f>_xll.BDP(A169&amp;" AB Equity","VOLUME")</f>
        <v>515370</v>
      </c>
      <c r="K169">
        <f>_xll.BDP(A169&amp;" AB Equity","OPEN")</f>
        <v>10.26</v>
      </c>
      <c r="L169">
        <f>_xll.BDP(A169&amp;" AB Equity","LOW")</f>
        <v>10.16</v>
      </c>
      <c r="M169">
        <f>_xll.BDP(A169&amp;" AB Equity","HIGH")</f>
        <v>10.5</v>
      </c>
      <c r="N169">
        <f>_xll.BDP(A169&amp;" AB Equity","VWAP")</f>
        <v>10.395099999999999</v>
      </c>
      <c r="O169" t="str">
        <f>_xll.BDP(A169&amp;" AB Equity","SAUDI_ARABIA_EXCHANGE_ID")</f>
        <v>8060</v>
      </c>
      <c r="P169">
        <f>_xll.BDP(A169&amp;" AB Equity","VOLUME_AVG_30D")</f>
        <v>459788.9</v>
      </c>
      <c r="Q169">
        <f>_xll.BDP(A169&amp;" AB Equity","BID")</f>
        <v>10.37</v>
      </c>
      <c r="R169">
        <f>_xll.BDP(A169&amp;" AB Equity","ASK")</f>
        <v>10.46</v>
      </c>
      <c r="S169">
        <f>_xll.BDP(A169&amp;" AB Equity","CHG_PCT_MOV_AVG_200D")</f>
        <v>-3.281933</v>
      </c>
      <c r="T169">
        <f>_xll.BDP(A169&amp;" AB Equity","HIGH_30D")</f>
        <v>11.01</v>
      </c>
      <c r="U169">
        <f>_xll.BDP(A169&amp;" AB Equity","LOW_30D")</f>
        <v>9.6199999999999992</v>
      </c>
      <c r="V169" s="11" t="str" cm="1">
        <f t="array" aca="1" ref="V169" ca="1">_xll.BDH(A169&amp;" AB Equity","MOV_AVG_200D",TODAY()-32,TODAY()-32,"Days=T")</f>
        <v>#N/A N/A</v>
      </c>
      <c r="W169">
        <v>29.6373</v>
      </c>
      <c r="X169">
        <f>IF(B169="","",_xlfn.SINGLE(_xll.BDP(A169&amp;" AB Equity","MOV_AVG_200D")))</f>
        <v>10.804600000000001</v>
      </c>
    </row>
    <row r="170" spans="1:24" x14ac:dyDescent="0.25">
      <c r="A170" t="s">
        <v>177</v>
      </c>
      <c r="B170">
        <f>_xll.BDP(A170&amp;" AB Equity","LAST_PRICE")</f>
        <v>6.97</v>
      </c>
      <c r="C170">
        <f>_xll.BDP(A170&amp;" AB Equity","LAST_PRICE")</f>
        <v>6.97</v>
      </c>
      <c r="D170">
        <f>_xll.BDP(A170&amp;" AB Equity","RT_PX_CHG_PCT_1D")</f>
        <v>4.1854000091552734</v>
      </c>
      <c r="E170">
        <f>_xll.BDP(A170&amp;" AB Equity","CHG_PCT_1M_RT")</f>
        <v>18.537400000000002</v>
      </c>
      <c r="F170">
        <f>_xll.BDP(A170&amp;" AB Equity","CHG_PCT_YTD_RT")</f>
        <v>-9.0077999999999996</v>
      </c>
      <c r="G170">
        <f>_xll.BDP(A170&amp;" AB Equity","YEST_LAST_TRADE")</f>
        <v>6.69</v>
      </c>
      <c r="H170">
        <f>_xll.BDP(A170&amp;" AB Equity","HIGH_52WEEK")</f>
        <v>12.98</v>
      </c>
      <c r="I170">
        <f>_xll.BDP(A170&amp;" AB Equity","LOW_52WEEK")</f>
        <v>5.65</v>
      </c>
      <c r="J170">
        <f>_xll.BDP(A170&amp;" AB Equity","VOLUME")</f>
        <v>1071084</v>
      </c>
      <c r="K170">
        <f>_xll.BDP(A170&amp;" AB Equity","OPEN")</f>
        <v>6.69</v>
      </c>
      <c r="L170">
        <f>_xll.BDP(A170&amp;" AB Equity","LOW")</f>
        <v>6.67</v>
      </c>
      <c r="M170">
        <f>_xll.BDP(A170&amp;" AB Equity","HIGH")</f>
        <v>7.22</v>
      </c>
      <c r="N170">
        <f>_xll.BDP(A170&amp;" AB Equity","VWAP")</f>
        <v>6.9394999999999998</v>
      </c>
      <c r="O170" t="str">
        <f>_xll.BDP(A170&amp;" AB Equity","SAUDI_ARABIA_EXCHANGE_ID")</f>
        <v>8150</v>
      </c>
      <c r="P170">
        <f>_xll.BDP(A170&amp;" AB Equity","VOLUME_AVG_30D")</f>
        <v>379548.6</v>
      </c>
      <c r="Q170">
        <f>_xll.BDP(A170&amp;" AB Equity","BID")</f>
        <v>6.97</v>
      </c>
      <c r="R170">
        <f>_xll.BDP(A170&amp;" AB Equity","ASK")</f>
        <v>7</v>
      </c>
      <c r="S170">
        <f>_xll.BDP(A170&amp;" AB Equity","CHG_PCT_MOV_AVG_200D")</f>
        <v>-13.77805</v>
      </c>
      <c r="T170">
        <f>_xll.BDP(A170&amp;" AB Equity","HIGH_30D")</f>
        <v>7.02</v>
      </c>
      <c r="U170">
        <f>_xll.BDP(A170&amp;" AB Equity","LOW_30D")</f>
        <v>5.65</v>
      </c>
      <c r="V170" s="11" t="str" cm="1">
        <f t="array" aca="1" ref="V170" ca="1">_xll.BDH(A170&amp;" AB Equity","MOV_AVG_200D",TODAY()-32,TODAY()-32,"Days=T")</f>
        <v>#N/A N/A</v>
      </c>
      <c r="W170">
        <v>29.602799999999998</v>
      </c>
      <c r="X170">
        <f>IF(B170="","",_xlfn.SINGLE(_xll.BDP(A170&amp;" AB Equity","MOV_AVG_200D")))</f>
        <v>8.0142000000000007</v>
      </c>
    </row>
    <row r="171" spans="1:24" x14ac:dyDescent="0.25">
      <c r="A171" t="s">
        <v>178</v>
      </c>
      <c r="B171">
        <f>_xll.BDP(A171&amp;" AB Equity","LAST_PRICE")</f>
        <v>16.32</v>
      </c>
      <c r="C171">
        <f>_xll.BDP(A171&amp;" AB Equity","LAST_PRICE")</f>
        <v>16.32</v>
      </c>
      <c r="D171">
        <f>_xll.BDP(A171&amp;" AB Equity","RT_PX_CHG_PCT_1D")</f>
        <v>-0.54839998483657837</v>
      </c>
      <c r="E171">
        <f>_xll.BDP(A171&amp;" AB Equity","CHG_PCT_1M_RT")</f>
        <v>13.728199999999999</v>
      </c>
      <c r="F171">
        <f>_xll.BDP(A171&amp;" AB Equity","CHG_PCT_YTD_RT")</f>
        <v>41.054499999999997</v>
      </c>
      <c r="G171">
        <f>_xll.BDP(A171&amp;" AB Equity","YEST_LAST_TRADE")</f>
        <v>16.41</v>
      </c>
      <c r="H171">
        <f>_xll.BDP(A171&amp;" AB Equity","HIGH_52WEEK")</f>
        <v>20.75</v>
      </c>
      <c r="I171">
        <f>_xll.BDP(A171&amp;" AB Equity","LOW_52WEEK")</f>
        <v>11.04</v>
      </c>
      <c r="J171">
        <f>_xll.BDP(A171&amp;" AB Equity","VOLUME")</f>
        <v>577367</v>
      </c>
      <c r="K171">
        <f>_xll.BDP(A171&amp;" AB Equity","OPEN")</f>
        <v>16.41</v>
      </c>
      <c r="L171">
        <f>_xll.BDP(A171&amp;" AB Equity","LOW")</f>
        <v>16.309999999999999</v>
      </c>
      <c r="M171">
        <f>_xll.BDP(A171&amp;" AB Equity","HIGH")</f>
        <v>16.66</v>
      </c>
      <c r="N171">
        <f>_xll.BDP(A171&amp;" AB Equity","VWAP")</f>
        <v>16.459199999999999</v>
      </c>
      <c r="O171" t="str">
        <f>_xll.BDP(A171&amp;" AB Equity","SAUDI_ARABIA_EXCHANGE_ID")</f>
        <v>8030</v>
      </c>
      <c r="P171">
        <f>_xll.BDP(A171&amp;" AB Equity","VOLUME_AVG_30D")</f>
        <v>1224631</v>
      </c>
      <c r="Q171">
        <f>_xll.BDP(A171&amp;" AB Equity","BID")</f>
        <v>16.32</v>
      </c>
      <c r="R171">
        <f>_xll.BDP(A171&amp;" AB Equity","ASK")</f>
        <v>16.399999999999999</v>
      </c>
      <c r="S171">
        <f>_xll.BDP(A171&amp;" AB Equity","CHG_PCT_MOV_AVG_200D")</f>
        <v>14.708869999999999</v>
      </c>
      <c r="T171">
        <f>_xll.BDP(A171&amp;" AB Equity","HIGH_30D")</f>
        <v>17.149999999999999</v>
      </c>
      <c r="U171">
        <f>_xll.BDP(A171&amp;" AB Equity","LOW_30D")</f>
        <v>14.13</v>
      </c>
      <c r="V171" s="11" t="str" cm="1">
        <f t="array" aca="1" ref="V171" ca="1">_xll.BDH(A171&amp;" AB Equity","MOV_AVG_200D",TODAY()-32,TODAY()-32,"Days=T")</f>
        <v>#N/A N/A</v>
      </c>
      <c r="W171">
        <v>29.567</v>
      </c>
      <c r="X171">
        <f>IF(B171="","",_xlfn.SINGLE(_xll.BDP(A171&amp;" AB Equity","MOV_AVG_200D")))</f>
        <v>14.4627</v>
      </c>
    </row>
    <row r="172" spans="1:24" x14ac:dyDescent="0.25">
      <c r="A172" t="s">
        <v>179</v>
      </c>
      <c r="B172">
        <f>_xll.BDP(A172&amp;" AB Equity","LAST_PRICE")</f>
        <v>10.14</v>
      </c>
      <c r="C172">
        <f>_xll.BDP(A172&amp;" AB Equity","LAST_PRICE")</f>
        <v>10.14</v>
      </c>
      <c r="D172">
        <f>_xll.BDP(A172&amp;" AB Equity","RT_PX_CHG_PCT_1D")</f>
        <v>5.1866998672485352</v>
      </c>
      <c r="E172">
        <f>_xll.BDP(A172&amp;" AB Equity","CHG_PCT_1M_RT")</f>
        <v>32.548999999999999</v>
      </c>
      <c r="F172">
        <f>_xll.BDP(A172&amp;" AB Equity","CHG_PCT_YTD_RT")</f>
        <v>9.0322999999999993</v>
      </c>
      <c r="G172">
        <f>_xll.BDP(A172&amp;" AB Equity","YEST_LAST_TRADE")</f>
        <v>9.64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1035523</v>
      </c>
      <c r="K172">
        <f>_xll.BDP(A172&amp;" AB Equity","OPEN")</f>
        <v>9.5500000000000007</v>
      </c>
      <c r="L172">
        <f>_xll.BDP(A172&amp;" AB Equity","LOW")</f>
        <v>9.43</v>
      </c>
      <c r="M172">
        <f>_xll.BDP(A172&amp;" AB Equity","HIGH")</f>
        <v>10.17</v>
      </c>
      <c r="N172">
        <f>_xll.BDP(A172&amp;" AB Equity","VWAP")</f>
        <v>9.6898999999999997</v>
      </c>
      <c r="O172" t="str">
        <f>_xll.BDP(A172&amp;" AB Equity","SAUDI_ARABIA_EXCHANGE_ID")</f>
        <v>8050</v>
      </c>
      <c r="P172">
        <f>_xll.BDP(A172&amp;" AB Equity","VOLUME_AVG_30D")</f>
        <v>299604.8</v>
      </c>
      <c r="Q172">
        <f>_xll.BDP(A172&amp;" AB Equity","BID")</f>
        <v>10.06</v>
      </c>
      <c r="R172">
        <f>_xll.BDP(A172&amp;" AB Equity","ASK")</f>
        <v>10.14</v>
      </c>
      <c r="S172">
        <f>_xll.BDP(A172&amp;" AB Equity","CHG_PCT_MOV_AVG_200D")</f>
        <v>3.6258430000000001</v>
      </c>
      <c r="T172">
        <f>_xll.BDP(A172&amp;" AB Equity","HIGH_30D")</f>
        <v>9.8699999999999992</v>
      </c>
      <c r="U172">
        <f>_xll.BDP(A172&amp;" AB Equity","LOW_30D")</f>
        <v>7.51</v>
      </c>
      <c r="V172" s="11" t="str" cm="1">
        <f t="array" aca="1" ref="V172" ca="1">_xll.BDH(A172&amp;" AB Equity","MOV_AVG_200D",TODAY()-32,TODAY()-32,"Days=T")</f>
        <v>#N/A N/A</v>
      </c>
      <c r="W172">
        <v>29.5246</v>
      </c>
      <c r="X172">
        <f>IF(B172="","",_xlfn.SINGLE(_xll.BDP(A172&amp;" AB Equity","MOV_AVG_200D")))</f>
        <v>9.4184999999999999</v>
      </c>
    </row>
    <row r="173" spans="1:24" x14ac:dyDescent="0.25">
      <c r="A173" t="s">
        <v>180</v>
      </c>
      <c r="B173">
        <f>_xll.BDP(A173&amp;" AB Equity","LAST_PRICE")</f>
        <v>12.53</v>
      </c>
      <c r="C173">
        <f>_xll.BDP(A173&amp;" AB Equity","LAST_PRICE")</f>
        <v>12.53</v>
      </c>
      <c r="D173">
        <f>_xll.BDP(A173&amp;" AB Equity","RT_PX_CHG_PCT_1D")</f>
        <v>0.23999999463558197</v>
      </c>
      <c r="E173">
        <f>_xll.BDP(A173&amp;" AB Equity","CHG_PCT_1M_RT")</f>
        <v>19.447099999999999</v>
      </c>
      <c r="F173">
        <f>_xll.BDP(A173&amp;" AB Equity","CHG_PCT_YTD_RT")</f>
        <v>14.9541</v>
      </c>
      <c r="G173">
        <f>_xll.BDP(A173&amp;" AB Equity","YEST_LAST_TRADE")</f>
        <v>12.5</v>
      </c>
      <c r="H173">
        <f>_xll.BDP(A173&amp;" AB Equity","HIGH_52WEEK")</f>
        <v>14.47</v>
      </c>
      <c r="I173">
        <f>_xll.BDP(A173&amp;" AB Equity","LOW_52WEEK")</f>
        <v>9.3699999999999992</v>
      </c>
      <c r="J173">
        <f>_xll.BDP(A173&amp;" AB Equity","VOLUME")</f>
        <v>263624</v>
      </c>
      <c r="K173">
        <f>_xll.BDP(A173&amp;" AB Equity","OPEN")</f>
        <v>12.39</v>
      </c>
      <c r="L173">
        <f>_xll.BDP(A173&amp;" AB Equity","LOW")</f>
        <v>12.39</v>
      </c>
      <c r="M173">
        <f>_xll.BDP(A173&amp;" AB Equity","HIGH")</f>
        <v>12.75</v>
      </c>
      <c r="N173">
        <f>_xll.BDP(A173&amp;" AB Equity","VWAP")</f>
        <v>12.5589</v>
      </c>
      <c r="O173" t="str">
        <f>_xll.BDP(A173&amp;" AB Equity","SAUDI_ARABIA_EXCHANGE_ID")</f>
        <v>8280</v>
      </c>
      <c r="P173">
        <f>_xll.BDP(A173&amp;" AB Equity","VOLUME_AVG_30D")</f>
        <v>209575</v>
      </c>
      <c r="Q173">
        <f>_xll.BDP(A173&amp;" AB Equity","BID")</f>
        <v>12.53</v>
      </c>
      <c r="R173">
        <f>_xll.BDP(A173&amp;" AB Equity","ASK")</f>
        <v>12.55</v>
      </c>
      <c r="S173">
        <f>_xll.BDP(A173&amp;" AB Equity","CHG_PCT_MOV_AVG_200D")</f>
        <v>11.56057</v>
      </c>
      <c r="T173">
        <f>_xll.BDP(A173&amp;" AB Equity","HIGH_30D")</f>
        <v>13.48</v>
      </c>
      <c r="U173">
        <f>_xll.BDP(A173&amp;" AB Equity","LOW_30D")</f>
        <v>10.28</v>
      </c>
      <c r="V173" s="11" t="str" cm="1">
        <f t="array" aca="1" ref="V173" ca="1">_xll.BDH(A173&amp;" AB Equity","MOV_AVG_200D",TODAY()-32,TODAY()-32,"Days=T")</f>
        <v>#N/A N/A</v>
      </c>
      <c r="W173">
        <v>10.0725</v>
      </c>
      <c r="X173">
        <f>IF(B173="","",_xlfn.SINGLE(_xll.BDP(A173&amp;" AB Equity","MOV_AVG_200D")))</f>
        <v>11.38395</v>
      </c>
    </row>
    <row r="174" spans="1:24" x14ac:dyDescent="0.25">
      <c r="A174" t="s">
        <v>181</v>
      </c>
      <c r="B174">
        <f>_xll.BDP(A174&amp;" AB Equity","LAST_PRICE")</f>
        <v>12</v>
      </c>
      <c r="C174">
        <f>_xll.BDP(A174&amp;" AB Equity","LAST_PRICE")</f>
        <v>12</v>
      </c>
      <c r="D174">
        <f>_xll.BDP(A174&amp;" AB Equity","RT_PX_CHG_PCT_1D")</f>
        <v>0.16689999401569366</v>
      </c>
      <c r="E174">
        <f>_xll.BDP(A174&amp;" AB Equity","CHG_PCT_1M_RT")</f>
        <v>2.5640999999999998</v>
      </c>
      <c r="F174">
        <f>_xll.BDP(A174&amp;" AB Equity","CHG_PCT_YTD_RT")</f>
        <v>10.3956</v>
      </c>
      <c r="G174">
        <f>_xll.BDP(A174&amp;" AB Equity","YEST_LAST_TRADE")</f>
        <v>11.98</v>
      </c>
      <c r="H174">
        <f>_xll.BDP(A174&amp;" AB Equity","HIGH_52WEEK")</f>
        <v>16.579999999999998</v>
      </c>
      <c r="I174">
        <f>_xll.BDP(A174&amp;" AB Equity","LOW_52WEEK")</f>
        <v>9.4499999999999993</v>
      </c>
      <c r="J174">
        <f>_xll.BDP(A174&amp;" AB Equity","VOLUME")</f>
        <v>197444</v>
      </c>
      <c r="K174">
        <f>_xll.BDP(A174&amp;" AB Equity","OPEN")</f>
        <v>11.98</v>
      </c>
      <c r="L174">
        <f>_xll.BDP(A174&amp;" AB Equity","LOW")</f>
        <v>11.88</v>
      </c>
      <c r="M174">
        <f>_xll.BDP(A174&amp;" AB Equity","HIGH")</f>
        <v>12.1</v>
      </c>
      <c r="N174">
        <f>_xll.BDP(A174&amp;" AB Equity","VWAP")</f>
        <v>12.0349</v>
      </c>
      <c r="O174" t="str">
        <f>_xll.BDP(A174&amp;" AB Equity","SAUDI_ARABIA_EXCHANGE_ID")</f>
        <v>8070</v>
      </c>
      <c r="P174">
        <f>_xll.BDP(A174&amp;" AB Equity","VOLUME_AVG_30D")</f>
        <v>247052.2</v>
      </c>
      <c r="Q174">
        <f>_xll.BDP(A174&amp;" AB Equity","BID")</f>
        <v>12</v>
      </c>
      <c r="R174">
        <f>_xll.BDP(A174&amp;" AB Equity","ASK")</f>
        <v>12.04</v>
      </c>
      <c r="S174">
        <f>_xll.BDP(A174&amp;" AB Equity","CHG_PCT_MOV_AVG_200D")</f>
        <v>1.373869</v>
      </c>
      <c r="T174">
        <f>_xll.BDP(A174&amp;" AB Equity","HIGH_30D")</f>
        <v>12.74</v>
      </c>
      <c r="U174">
        <f>_xll.BDP(A174&amp;" AB Equity","LOW_30D")</f>
        <v>10.73</v>
      </c>
      <c r="V174" s="11" t="str" cm="1">
        <f t="array" aca="1" ref="V174" ca="1">_xll.BDH(A174&amp;" AB Equity","MOV_AVG_200D",TODAY()-32,TODAY()-32,"Days=T")</f>
        <v>#N/A N/A</v>
      </c>
      <c r="W174">
        <v>11.732699999999999</v>
      </c>
      <c r="X174">
        <f>IF(B174="","",_xlfn.SINGLE(_xll.BDP(A174&amp;" AB Equity","MOV_AVG_200D")))</f>
        <v>11.92615</v>
      </c>
    </row>
    <row r="175" spans="1:24" x14ac:dyDescent="0.25">
      <c r="A175" t="s">
        <v>182</v>
      </c>
      <c r="B175">
        <f>_xll.BDP(A175&amp;" AB Equity","LAST_PRICE")</f>
        <v>12.03</v>
      </c>
      <c r="C175">
        <f>_xll.BDP(A175&amp;" AB Equity","LAST_PRICE")</f>
        <v>12.03</v>
      </c>
      <c r="D175">
        <f>_xll.BDP(A175&amp;" AB Equity","RT_PX_CHG_PCT_1D")</f>
        <v>9.9633998870849609</v>
      </c>
      <c r="E175">
        <f>_xll.BDP(A175&amp;" AB Equity","CHG_PCT_1M_RT")</f>
        <v>38.754300000000001</v>
      </c>
      <c r="F175">
        <f>_xll.BDP(A175&amp;" AB Equity","CHG_PCT_YTD_RT")</f>
        <v>8.3783999999999992</v>
      </c>
      <c r="G175">
        <f>_xll.BDP(A175&amp;" AB Equity","YEST_LAST_TRADE")</f>
        <v>10.94</v>
      </c>
      <c r="H175">
        <f>_xll.BDP(A175&amp;" AB Equity","HIGH_52WEEK")</f>
        <v>17.170000000000002</v>
      </c>
      <c r="I175">
        <f>_xll.BDP(A175&amp;" AB Equity","LOW_52WEEK")</f>
        <v>8.1999999999999993</v>
      </c>
      <c r="J175">
        <f>_xll.BDP(A175&amp;" AB Equity","VOLUME")</f>
        <v>1145972</v>
      </c>
      <c r="K175">
        <f>_xll.BDP(A175&amp;" AB Equity","OPEN")</f>
        <v>11.1</v>
      </c>
      <c r="L175">
        <f>_xll.BDP(A175&amp;" AB Equity","LOW")</f>
        <v>10.95</v>
      </c>
      <c r="M175">
        <f>_xll.BDP(A175&amp;" AB Equity","HIGH")</f>
        <v>12.03</v>
      </c>
      <c r="N175">
        <f>_xll.BDP(A175&amp;" AB Equity","VWAP")</f>
        <v>11.8565</v>
      </c>
      <c r="O175" t="str">
        <f>_xll.BDP(A175&amp;" AB Equity","SAUDI_ARABIA_EXCHANGE_ID")</f>
        <v>8040</v>
      </c>
      <c r="P175">
        <f>_xll.BDP(A175&amp;" AB Equity","VOLUME_AVG_30D")</f>
        <v>202125.8</v>
      </c>
      <c r="Q175">
        <f>_xll.BDP(A175&amp;" AB Equity","BID")</f>
        <v>12.03</v>
      </c>
      <c r="R175">
        <f>_xll.BDP(A175&amp;" AB Equity","ASK")</f>
        <v>12.09</v>
      </c>
      <c r="S175">
        <f>_xll.BDP(A175&amp;" AB Equity","CHG_PCT_MOV_AVG_200D")</f>
        <v>9.5543580000000006</v>
      </c>
      <c r="T175">
        <f>_xll.BDP(A175&amp;" AB Equity","HIGH_30D")</f>
        <v>10.94</v>
      </c>
      <c r="U175">
        <f>_xll.BDP(A175&amp;" AB Equity","LOW_30D")</f>
        <v>8.3699999999999992</v>
      </c>
      <c r="V175" s="11" t="str" cm="1">
        <f t="array" aca="1" ref="V175" ca="1">_xll.BDH(A175&amp;" AB Equity","MOV_AVG_200D",TODAY()-32,TODAY()-32,"Days=T")</f>
        <v>#N/A N/A</v>
      </c>
      <c r="W175">
        <v>12.537000000000001</v>
      </c>
      <c r="X175">
        <f>IF(B175="","",_xlfn.SINGLE(_xll.BDP(A175&amp;" AB Equity","MOV_AVG_200D")))</f>
        <v>10.98085</v>
      </c>
    </row>
    <row r="176" spans="1:24" x14ac:dyDescent="0.25">
      <c r="A176" t="s">
        <v>183</v>
      </c>
      <c r="B176">
        <f>_xll.BDP(A176&amp;" AB Equity","LAST_PRICE")</f>
        <v>7.43</v>
      </c>
      <c r="C176">
        <f>_xll.BDP(A176&amp;" AB Equity","LAST_PRICE")</f>
        <v>7.43</v>
      </c>
      <c r="D176">
        <f>_xll.BDP(A176&amp;" AB Equity","RT_PX_CHG_PCT_1D")</f>
        <v>9.9111995697021484</v>
      </c>
      <c r="E176">
        <f>_xll.BDP(A176&amp;" AB Equity","CHG_PCT_1M_RT")</f>
        <v>14.4838</v>
      </c>
      <c r="F176">
        <f>_xll.BDP(A176&amp;" AB Equity","CHG_PCT_YTD_RT")</f>
        <v>22.809899999999999</v>
      </c>
      <c r="G176">
        <f>_xll.BDP(A176&amp;" AB Equity","YEST_LAST_TRADE")</f>
        <v>6.76</v>
      </c>
      <c r="H176">
        <f>_xll.BDP(A176&amp;" AB Equity","HIGH_52WEEK")</f>
        <v>9.27</v>
      </c>
      <c r="I176">
        <f>_xll.BDP(A176&amp;" AB Equity","LOW_52WEEK")</f>
        <v>5</v>
      </c>
      <c r="J176">
        <f>_xll.BDP(A176&amp;" AB Equity","VOLUME")</f>
        <v>2461861</v>
      </c>
      <c r="K176">
        <f>_xll.BDP(A176&amp;" AB Equity","OPEN")</f>
        <v>6.8</v>
      </c>
      <c r="L176">
        <f>_xll.BDP(A176&amp;" AB Equity","LOW")</f>
        <v>6.77</v>
      </c>
      <c r="M176">
        <f>_xll.BDP(A176&amp;" AB Equity","HIGH")</f>
        <v>7.43</v>
      </c>
      <c r="N176">
        <f>_xll.BDP(A176&amp;" AB Equity","VWAP")</f>
        <v>7.2336</v>
      </c>
      <c r="O176" t="str">
        <f>_xll.BDP(A176&amp;" AB Equity","SAUDI_ARABIA_EXCHANGE_ID")</f>
        <v>8310</v>
      </c>
      <c r="P176">
        <f>_xll.BDP(A176&amp;" AB Equity","VOLUME_AVG_30D")</f>
        <v>764318.2</v>
      </c>
      <c r="Q176">
        <f>_xll.BDP(A176&amp;" AB Equity","BID")</f>
        <v>7.43</v>
      </c>
      <c r="R176">
        <f>_xll.BDP(A176&amp;" AB Equity","ASK")</f>
        <v>7.44</v>
      </c>
      <c r="S176">
        <f>_xll.BDP(A176&amp;" AB Equity","CHG_PCT_MOV_AVG_200D")</f>
        <v>13.53739</v>
      </c>
      <c r="T176">
        <f>_xll.BDP(A176&amp;" AB Equity","HIGH_30D")</f>
        <v>7.85</v>
      </c>
      <c r="U176">
        <f>_xll.BDP(A176&amp;" AB Equity","LOW_30D")</f>
        <v>6.28</v>
      </c>
      <c r="V176" s="11" t="str" cm="1">
        <f t="array" aca="1" ref="V176" ca="1">_xll.BDH(A176&amp;" AB Equity","MOV_AVG_200D",TODAY()-32,TODAY()-32,"Days=T")</f>
        <v>#N/A N/A</v>
      </c>
      <c r="W176">
        <v>12.5123</v>
      </c>
      <c r="X176">
        <f>IF(B176="","",_xlfn.SINGLE(_xll.BDP(A176&amp;" AB Equity","MOV_AVG_200D")))</f>
        <v>6.5441000000000003</v>
      </c>
    </row>
    <row r="177" spans="1:24" x14ac:dyDescent="0.25">
      <c r="A177" t="s">
        <v>184</v>
      </c>
      <c r="B177">
        <f>_xll.BDP(A177&amp;" AB Equity","LAST_PRICE")</f>
        <v>19.05</v>
      </c>
      <c r="C177">
        <f>_xll.BDP(A177&amp;" AB Equity","LAST_PRICE")</f>
        <v>19.05</v>
      </c>
      <c r="D177">
        <f>_xll.BDP(A177&amp;" AB Equity","RT_PX_CHG_PCT_1D")</f>
        <v>-0.26179999113082886</v>
      </c>
      <c r="E177">
        <f>_xll.BDP(A177&amp;" AB Equity","CHG_PCT_1M_RT")</f>
        <v>3.1960999999999999</v>
      </c>
      <c r="F177">
        <f>_xll.BDP(A177&amp;" AB Equity","CHG_PCT_YTD_RT")</f>
        <v>-9.1126000000000005</v>
      </c>
      <c r="G177">
        <f>_xll.BDP(A177&amp;" AB Equity","YEST_LAST_TRADE")</f>
        <v>19.100000000000001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469358</v>
      </c>
      <c r="K177">
        <f>_xll.BDP(A177&amp;" AB Equity","OPEN")</f>
        <v>18.920000000000002</v>
      </c>
      <c r="L177">
        <f>_xll.BDP(A177&amp;" AB Equity","LOW")</f>
        <v>18.920000000000002</v>
      </c>
      <c r="M177">
        <f>_xll.BDP(A177&amp;" AB Equity","HIGH")</f>
        <v>19.559999999999999</v>
      </c>
      <c r="N177">
        <f>_xll.BDP(A177&amp;" AB Equity","VWAP")</f>
        <v>19.211200000000002</v>
      </c>
      <c r="O177" t="str">
        <f>_xll.BDP(A177&amp;" AB Equity","SAUDI_ARABIA_EXCHANGE_ID")</f>
        <v>8240</v>
      </c>
      <c r="P177">
        <f>_xll.BDP(A177&amp;" AB Equity","VOLUME_AVG_30D")</f>
        <v>401590</v>
      </c>
      <c r="Q177">
        <f>_xll.BDP(A177&amp;" AB Equity","BID")</f>
        <v>19.03</v>
      </c>
      <c r="R177">
        <f>_xll.BDP(A177&amp;" AB Equity","ASK")</f>
        <v>19.05</v>
      </c>
      <c r="S177">
        <f>_xll.BDP(A177&amp;" AB Equity","CHG_PCT_MOV_AVG_200D")</f>
        <v>-13.68482</v>
      </c>
      <c r="T177">
        <f>_xll.BDP(A177&amp;" AB Equity","HIGH_30D")</f>
        <v>20.98</v>
      </c>
      <c r="U177">
        <f>_xll.BDP(A177&amp;" AB Equity","LOW_30D")</f>
        <v>17.09</v>
      </c>
      <c r="V177" s="11" t="str" cm="1">
        <f t="array" aca="1" ref="V177" ca="1">_xll.BDH(A177&amp;" AB Equity","MOV_AVG_200D",TODAY()-32,TODAY()-32,"Days=T")</f>
        <v>#N/A N/A</v>
      </c>
      <c r="W177">
        <v>12.482799999999999</v>
      </c>
      <c r="X177">
        <f>IF(B177="","",_xlfn.SINGLE(_xll.BDP(A177&amp;" AB Equity","MOV_AVG_200D")))</f>
        <v>22.568449999999999</v>
      </c>
    </row>
    <row r="178" spans="1:24" x14ac:dyDescent="0.25">
      <c r="A178" t="s">
        <v>185</v>
      </c>
      <c r="B178">
        <f>_xll.BDP(A178&amp;" AB Equity","LAST_PRICE")</f>
        <v>11.75</v>
      </c>
      <c r="C178">
        <f>_xll.BDP(A178&amp;" AB Equity","LAST_PRICE")</f>
        <v>11.75</v>
      </c>
      <c r="D178">
        <f>_xll.BDP(A178&amp;" AB Equity","RT_PX_CHG_PCT_1D")</f>
        <v>1.7316000461578369</v>
      </c>
      <c r="E178">
        <f>_xll.BDP(A178&amp;" AB Equity","CHG_PCT_1M_RT")</f>
        <v>4.4443999999999999</v>
      </c>
      <c r="F178">
        <f>_xll.BDP(A178&amp;" AB Equity","CHG_PCT_YTD_RT")</f>
        <v>5.1924999999999999</v>
      </c>
      <c r="G178">
        <f>_xll.BDP(A178&amp;" AB Equity","YEST_LAST_TRADE")</f>
        <v>11.55</v>
      </c>
      <c r="H178">
        <f>_xll.BDP(A178&amp;" AB Equity","HIGH_52WEEK")</f>
        <v>14</v>
      </c>
      <c r="I178">
        <f>_xll.BDP(A178&amp;" AB Equity","LOW_52WEEK")</f>
        <v>10.36</v>
      </c>
      <c r="J178">
        <f>_xll.BDP(A178&amp;" AB Equity","VOLUME")</f>
        <v>233020</v>
      </c>
      <c r="K178">
        <f>_xll.BDP(A178&amp;" AB Equity","OPEN")</f>
        <v>11.51</v>
      </c>
      <c r="L178">
        <f>_xll.BDP(A178&amp;" AB Equity","LOW")</f>
        <v>11.51</v>
      </c>
      <c r="M178">
        <f>_xll.BDP(A178&amp;" AB Equity","HIGH")</f>
        <v>11.81</v>
      </c>
      <c r="N178">
        <f>_xll.BDP(A178&amp;" AB Equity","VWAP")</f>
        <v>11.696199999999999</v>
      </c>
      <c r="O178" t="str">
        <f>_xll.BDP(A178&amp;" AB Equity","SAUDI_ARABIA_EXCHANGE_ID")</f>
        <v>8012</v>
      </c>
      <c r="P178">
        <f>_xll.BDP(A178&amp;" AB Equity","VOLUME_AVG_30D")</f>
        <v>175416.3</v>
      </c>
      <c r="Q178">
        <f>_xll.BDP(A178&amp;" AB Equity","BID")</f>
        <v>11.67</v>
      </c>
      <c r="R178">
        <f>_xll.BDP(A178&amp;" AB Equity","ASK")</f>
        <v>11.75</v>
      </c>
      <c r="S178">
        <f>_xll.BDP(A178&amp;" AB Equity","CHG_PCT_MOV_AVG_200D")</f>
        <v>0.67300439999999995</v>
      </c>
      <c r="T178">
        <f>_xll.BDP(A178&amp;" AB Equity","HIGH_30D")</f>
        <v>12.15</v>
      </c>
      <c r="U178">
        <f>_xll.BDP(A178&amp;" AB Equity","LOW_30D")</f>
        <v>10.96</v>
      </c>
      <c r="V178" s="11" t="str" cm="1">
        <f t="array" aca="1" ref="V178" ca="1">_xll.BDH(A178&amp;" AB Equity","MOV_AVG_200D",TODAY()-32,TODAY()-32,"Days=T")</f>
        <v>#N/A N/A</v>
      </c>
      <c r="W178">
        <v>12.4512</v>
      </c>
      <c r="X178">
        <f>IF(B178="","",_xlfn.SINGLE(_xll.BDP(A178&amp;" AB Equity","MOV_AVG_200D")))</f>
        <v>11.70125</v>
      </c>
    </row>
    <row r="179" spans="1:24" x14ac:dyDescent="0.25">
      <c r="A179" t="s">
        <v>186</v>
      </c>
      <c r="B179">
        <f>_xll.BDP(A179&amp;" AB Equity","LAST_PRICE")</f>
        <v>11.44</v>
      </c>
      <c r="C179">
        <f>_xll.BDP(A179&amp;" AB Equity","LAST_PRICE")</f>
        <v>11.44</v>
      </c>
      <c r="D179">
        <f>_xll.BDP(A179&amp;" AB Equity","RT_PX_CHG_PCT_1D")</f>
        <v>3.2490999698638916</v>
      </c>
      <c r="E179">
        <f>_xll.BDP(A179&amp;" AB Equity","CHG_PCT_1M_RT")</f>
        <v>0.79300000000000004</v>
      </c>
      <c r="F179">
        <f>_xll.BDP(A179&amp;" AB Equity","CHG_PCT_YTD_RT")</f>
        <v>64.841499999999996</v>
      </c>
      <c r="G179">
        <f>_xll.BDP(A179&amp;" AB Equity","YEST_LAST_TRADE")</f>
        <v>11.08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1432665</v>
      </c>
      <c r="K179">
        <f>_xll.BDP(A179&amp;" AB Equity","OPEN")</f>
        <v>11.02</v>
      </c>
      <c r="L179">
        <f>_xll.BDP(A179&amp;" AB Equity","LOW")</f>
        <v>10.98</v>
      </c>
      <c r="M179">
        <f>_xll.BDP(A179&amp;" AB Equity","HIGH")</f>
        <v>11.96</v>
      </c>
      <c r="N179">
        <f>_xll.BDP(A179&amp;" AB Equity","VWAP")</f>
        <v>11.6296</v>
      </c>
      <c r="O179" t="str">
        <f>_xll.BDP(A179&amp;" AB Equity","SAUDI_ARABIA_EXCHANGE_ID")</f>
        <v>8311</v>
      </c>
      <c r="P179">
        <f>_xll.BDP(A179&amp;" AB Equity","VOLUME_AVG_30D")</f>
        <v>546678.9</v>
      </c>
      <c r="Q179">
        <f>_xll.BDP(A179&amp;" AB Equity","BID")</f>
        <v>11.43</v>
      </c>
      <c r="R179">
        <f>_xll.BDP(A179&amp;" AB Equity","ASK")</f>
        <v>11.44</v>
      </c>
      <c r="S179">
        <f>_xll.BDP(A179&amp;" AB Equity","CHG_PCT_MOV_AVG_200D")</f>
        <v>35.186050000000002</v>
      </c>
      <c r="T179">
        <f>_xll.BDP(A179&amp;" AB Equity","HIGH_30D")</f>
        <v>12.42</v>
      </c>
      <c r="U179">
        <f>_xll.BDP(A179&amp;" AB Equity","LOW_30D")</f>
        <v>10.72</v>
      </c>
      <c r="V179" s="11" t="str" cm="1">
        <f t="array" aca="1" ref="V179" ca="1">_xll.BDH(A179&amp;" AB Equity","MOV_AVG_200D",TODAY()-32,TODAY()-32,"Days=T")</f>
        <v>#N/A N/A</v>
      </c>
      <c r="W179">
        <v>8.4063999999999997</v>
      </c>
      <c r="X179">
        <f>IF(B179="","",_xlfn.SINGLE(_xll.BDP(A179&amp;" AB Equity","MOV_AVG_200D")))</f>
        <v>8.7583000000000002</v>
      </c>
    </row>
    <row r="180" spans="1:24" x14ac:dyDescent="0.25">
      <c r="A180" t="s">
        <v>187</v>
      </c>
      <c r="B180">
        <f>_xll.BDP(A180&amp;" AB Equity","LAST_PRICE")</f>
        <v>6.8</v>
      </c>
      <c r="C180">
        <f>_xll.BDP(A180&amp;" AB Equity","LAST_PRICE")</f>
        <v>6.8</v>
      </c>
      <c r="D180">
        <f>_xll.BDP(A180&amp;" AB Equity","RT_PX_CHG_PCT_1D")</f>
        <v>4.6153998374938965</v>
      </c>
      <c r="E180">
        <f>_xll.BDP(A180&amp;" AB Equity","CHG_PCT_1M_RT")</f>
        <v>15.254200000000001</v>
      </c>
      <c r="F180">
        <f>_xll.BDP(A180&amp;" AB Equity","CHG_PCT_YTD_RT")</f>
        <v>-14.572900000000001</v>
      </c>
      <c r="G180">
        <f>_xll.BDP(A180&amp;" AB Equity","YEST_LAST_TRADE")</f>
        <v>6.5</v>
      </c>
      <c r="H180">
        <f>_xll.BDP(A180&amp;" AB Equity","HIGH_52WEEK")</f>
        <v>14.27</v>
      </c>
      <c r="I180">
        <f>_xll.BDP(A180&amp;" AB Equity","LOW_52WEEK")</f>
        <v>5.68</v>
      </c>
      <c r="J180">
        <f>_xll.BDP(A180&amp;" AB Equity","VOLUME")</f>
        <v>687715</v>
      </c>
      <c r="K180">
        <f>_xll.BDP(A180&amp;" AB Equity","OPEN")</f>
        <v>6.5</v>
      </c>
      <c r="L180">
        <f>_xll.BDP(A180&amp;" AB Equity","LOW")</f>
        <v>6.5</v>
      </c>
      <c r="M180">
        <f>_xll.BDP(A180&amp;" AB Equity","HIGH")</f>
        <v>6.84</v>
      </c>
      <c r="N180">
        <f>_xll.BDP(A180&amp;" AB Equity","VWAP")</f>
        <v>6.7239000000000004</v>
      </c>
      <c r="O180" t="str">
        <f>_xll.BDP(A180&amp;" AB Equity","SAUDI_ARABIA_EXCHANGE_ID")</f>
        <v>8170</v>
      </c>
      <c r="P180">
        <f>_xll.BDP(A180&amp;" AB Equity","VOLUME_AVG_30D")</f>
        <v>249940.4</v>
      </c>
      <c r="Q180">
        <f>_xll.BDP(A180&amp;" AB Equity","BID")</f>
        <v>6.78</v>
      </c>
      <c r="R180">
        <f>_xll.BDP(A180&amp;" AB Equity","ASK")</f>
        <v>6.8</v>
      </c>
      <c r="S180">
        <f>_xll.BDP(A180&amp;" AB Equity","CHG_PCT_MOV_AVG_200D")</f>
        <v>-16.424440000000001</v>
      </c>
      <c r="T180">
        <f>_xll.BDP(A180&amp;" AB Equity","HIGH_30D")</f>
        <v>6.94</v>
      </c>
      <c r="U180">
        <f>_xll.BDP(A180&amp;" AB Equity","LOW_30D")</f>
        <v>5.68</v>
      </c>
      <c r="V180" s="11" t="str" cm="1">
        <f t="array" aca="1" ref="V180" ca="1">_xll.BDH(A180&amp;" AB Equity","MOV_AVG_200D",TODAY()-32,TODAY()-32,"Days=T")</f>
        <v>#N/A N/A</v>
      </c>
      <c r="W180">
        <v>8.4054000000000002</v>
      </c>
      <c r="X180">
        <f>IF(B180="","",_xlfn.SINGLE(_xll.BDP(A180&amp;" AB Equity","MOV_AVG_200D")))</f>
        <v>8.1363500000000002</v>
      </c>
    </row>
    <row r="181" spans="1:24" x14ac:dyDescent="0.25">
      <c r="A181" t="s">
        <v>188</v>
      </c>
      <c r="B181">
        <f>_xll.BDP(A181&amp;" AB Equity","LAST_PRICE")</f>
        <v>3.35</v>
      </c>
      <c r="C181">
        <f>_xll.BDP(A181&amp;" AB Equity","LAST_PRICE")</f>
        <v>3.35</v>
      </c>
      <c r="D181">
        <f>_xll.BDP(A181&amp;" AB Equity","RT_PX_CHG_PCT_1D")</f>
        <v>2.760699987411499</v>
      </c>
      <c r="E181">
        <f>_xll.BDP(A181&amp;" AB Equity","CHG_PCT_1M_RT")</f>
        <v>10.927199999999999</v>
      </c>
      <c r="F181">
        <f>_xll.BDP(A181&amp;" AB Equity","CHG_PCT_YTD_RT")</f>
        <v>-9.9461999999999993</v>
      </c>
      <c r="G181">
        <f>_xll.BDP(A181&amp;" AB Equity","YEST_LAST_TRADE")</f>
        <v>3.26</v>
      </c>
      <c r="H181">
        <f>_xll.BDP(A181&amp;" AB Equity","HIGH_52WEEK")</f>
        <v>7.61</v>
      </c>
      <c r="I181">
        <f>_xll.BDP(A181&amp;" AB Equity","LOW_52WEEK")</f>
        <v>2.67</v>
      </c>
      <c r="J181">
        <f>_xll.BDP(A181&amp;" AB Equity","VOLUME")</f>
        <v>1707148</v>
      </c>
      <c r="K181">
        <f>_xll.BDP(A181&amp;" AB Equity","OPEN")</f>
        <v>3.28</v>
      </c>
      <c r="L181">
        <f>_xll.BDP(A181&amp;" AB Equity","LOW")</f>
        <v>3.25</v>
      </c>
      <c r="M181">
        <f>_xll.BDP(A181&amp;" AB Equity","HIGH")</f>
        <v>3.45</v>
      </c>
      <c r="N181">
        <f>_xll.BDP(A181&amp;" AB Equity","VWAP")</f>
        <v>3.3693</v>
      </c>
      <c r="O181" t="str">
        <f>_xll.BDP(A181&amp;" AB Equity","SAUDI_ARABIA_EXCHANGE_ID")</f>
        <v>8190</v>
      </c>
      <c r="P181">
        <f>_xll.BDP(A181&amp;" AB Equity","VOLUME_AVG_30D")</f>
        <v>759273.1</v>
      </c>
      <c r="Q181">
        <f>_xll.BDP(A181&amp;" AB Equity","BID")</f>
        <v>3.35</v>
      </c>
      <c r="R181">
        <f>_xll.BDP(A181&amp;" AB Equity","ASK")</f>
        <v>3.36</v>
      </c>
      <c r="S181">
        <f>_xll.BDP(A181&amp;" AB Equity","CHG_PCT_MOV_AVG_200D")</f>
        <v>-8.7048810000000003</v>
      </c>
      <c r="T181">
        <f>_xll.BDP(A181&amp;" AB Equity","HIGH_30D")</f>
        <v>3.59</v>
      </c>
      <c r="U181">
        <f>_xll.BDP(A181&amp;" AB Equity","LOW_30D")</f>
        <v>2.96</v>
      </c>
      <c r="V181" s="11" t="str" cm="1">
        <f t="array" aca="1" ref="V181" ca="1">_xll.BDH(A181&amp;" AB Equity","MOV_AVG_200D",TODAY()-32,TODAY()-32,"Days=T")</f>
        <v>#N/A N/A</v>
      </c>
      <c r="W181">
        <v>8.4010999999999996</v>
      </c>
      <c r="X181">
        <f>IF(B181="","",_xlfn.SINGLE(_xll.BDP(A181&amp;" AB Equity","MOV_AVG_200D")))</f>
        <v>3.7679999999999998</v>
      </c>
    </row>
    <row r="182" spans="1:24" x14ac:dyDescent="0.25">
      <c r="A182" t="s">
        <v>189</v>
      </c>
      <c r="B182">
        <f>_xll.BDP(A182&amp;" AB Equity","LAST_PRICE")</f>
        <v>10.25</v>
      </c>
      <c r="C182">
        <f>_xll.BDP(A182&amp;" AB Equity","LAST_PRICE")</f>
        <v>10.25</v>
      </c>
      <c r="D182">
        <f>_xll.BDP(A182&amp;" AB Equity","RT_PX_CHG_PCT_1D")</f>
        <v>4.3787999153137207</v>
      </c>
      <c r="E182">
        <f>_xll.BDP(A182&amp;" AB Equity","CHG_PCT_1M_RT")</f>
        <v>18.771699999999999</v>
      </c>
      <c r="F182">
        <f>_xll.BDP(A182&amp;" AB Equity","CHG_PCT_YTD_RT")</f>
        <v>9.6257000000000001</v>
      </c>
      <c r="G182">
        <f>_xll.BDP(A182&amp;" AB Equity","YEST_LAST_TRADE")</f>
        <v>9.82</v>
      </c>
      <c r="H182">
        <f>_xll.BDP(A182&amp;" AB Equity","HIGH_52WEEK")</f>
        <v>14</v>
      </c>
      <c r="I182">
        <f>_xll.BDP(A182&amp;" AB Equity","LOW_52WEEK")</f>
        <v>8.14</v>
      </c>
      <c r="J182">
        <f>_xll.BDP(A182&amp;" AB Equity","VOLUME")</f>
        <v>929050</v>
      </c>
      <c r="K182">
        <f>_xll.BDP(A182&amp;" AB Equity","OPEN")</f>
        <v>9.85</v>
      </c>
      <c r="L182">
        <f>_xll.BDP(A182&amp;" AB Equity","LOW")</f>
        <v>9.85</v>
      </c>
      <c r="M182">
        <f>_xll.BDP(A182&amp;" AB Equity","HIGH")</f>
        <v>10.3</v>
      </c>
      <c r="N182">
        <f>_xll.BDP(A182&amp;" AB Equity","VWAP")</f>
        <v>10.1028</v>
      </c>
      <c r="O182" t="str">
        <f>_xll.BDP(A182&amp;" AB Equity","SAUDI_ARABIA_EXCHANGE_ID")</f>
        <v>8020</v>
      </c>
      <c r="P182">
        <f>_xll.BDP(A182&amp;" AB Equity","VOLUME_AVG_30D")</f>
        <v>288096.2</v>
      </c>
      <c r="Q182">
        <f>_xll.BDP(A182&amp;" AB Equity","BID")</f>
        <v>10.25</v>
      </c>
      <c r="R182">
        <f>_xll.BDP(A182&amp;" AB Equity","ASK")</f>
        <v>10.27</v>
      </c>
      <c r="S182">
        <f>_xll.BDP(A182&amp;" AB Equity","CHG_PCT_MOV_AVG_200D")</f>
        <v>-0.98961049999999995</v>
      </c>
      <c r="T182">
        <f>_xll.BDP(A182&amp;" AB Equity","HIGH_30D")</f>
        <v>10.24</v>
      </c>
      <c r="U182">
        <f>_xll.BDP(A182&amp;" AB Equity","LOW_30D")</f>
        <v>8.2100000000000009</v>
      </c>
      <c r="V182" s="11" t="str" cm="1">
        <f t="array" aca="1" ref="V182" ca="1">_xll.BDH(A182&amp;" AB Equity","MOV_AVG_200D",TODAY()-32,TODAY()-32,"Days=T")</f>
        <v>#N/A N/A</v>
      </c>
      <c r="W182">
        <v>8.3970000000000002</v>
      </c>
      <c r="X182">
        <f>IF(B182="","",_xlfn.SINGLE(_xll.BDP(A182&amp;" AB Equity","MOV_AVG_200D")))</f>
        <v>10.200950000000001</v>
      </c>
    </row>
    <row r="183" spans="1:24" x14ac:dyDescent="0.25">
      <c r="A183" t="s">
        <v>190</v>
      </c>
      <c r="B183">
        <f>_xll.BDP(A183&amp;" AB Equity","LAST_PRICE")</f>
        <v>147.1</v>
      </c>
      <c r="C183">
        <f>_xll.BDP(A183&amp;" AB Equity","LAST_PRICE")</f>
        <v>147.1</v>
      </c>
      <c r="D183">
        <f>_xll.BDP(A183&amp;" AB Equity","RT_PX_CHG_PCT_1D")</f>
        <v>-0.27120000123977661</v>
      </c>
      <c r="E183">
        <f>_xll.BDP(A183&amp;" AB Equity","CHG_PCT_1M_RT")</f>
        <v>1.0996999999999999</v>
      </c>
      <c r="F183">
        <f>_xll.BDP(A183&amp;" AB Equity","CHG_PCT_YTD_RT")</f>
        <v>25.726500000000001</v>
      </c>
      <c r="G183">
        <f>_xll.BDP(A183&amp;" AB Equity","YEST_LAST_TRADE")</f>
        <v>147.5</v>
      </c>
      <c r="H183">
        <f>_xll.BDP(A183&amp;" AB Equity","HIGH_52WEEK")</f>
        <v>161.6</v>
      </c>
      <c r="I183">
        <f>_xll.BDP(A183&amp;" AB Equity","LOW_52WEEK")</f>
        <v>111.8</v>
      </c>
      <c r="J183">
        <f>_xll.BDP(A183&amp;" AB Equity","VOLUME")</f>
        <v>168723</v>
      </c>
      <c r="K183">
        <f>_xll.BDP(A183&amp;" AB Equity","OPEN")</f>
        <v>147.30000000000001</v>
      </c>
      <c r="L183">
        <f>_xll.BDP(A183&amp;" AB Equity","LOW")</f>
        <v>145.5</v>
      </c>
      <c r="M183">
        <f>_xll.BDP(A183&amp;" AB Equity","HIGH")</f>
        <v>147.5</v>
      </c>
      <c r="N183">
        <f>_xll.BDP(A183&amp;" AB Equity","VWAP")</f>
        <v>146.6474</v>
      </c>
      <c r="O183" t="str">
        <f>_xll.BDP(A183&amp;" AB Equity","SAUDI_ARABIA_EXCHANGE_ID")</f>
        <v>8010</v>
      </c>
      <c r="P183">
        <f>_xll.BDP(A183&amp;" AB Equity","VOLUME_AVG_30D")</f>
        <v>311377.2</v>
      </c>
      <c r="Q183">
        <f>_xll.BDP(A183&amp;" AB Equity","BID")</f>
        <v>146.6</v>
      </c>
      <c r="R183">
        <f>_xll.BDP(A183&amp;" AB Equity","ASK")</f>
        <v>147.1</v>
      </c>
      <c r="S183">
        <f>_xll.BDP(A183&amp;" AB Equity","CHG_PCT_MOV_AVG_200D")</f>
        <v>11.43863</v>
      </c>
      <c r="T183">
        <f>_xll.BDP(A183&amp;" AB Equity","HIGH_30D")</f>
        <v>161.6</v>
      </c>
      <c r="U183">
        <f>_xll.BDP(A183&amp;" AB Equity","LOW_30D")</f>
        <v>134.19999999999999</v>
      </c>
      <c r="V183" s="11" t="str" cm="1">
        <f t="array" aca="1" ref="V183" ca="1">_xll.BDH(A183&amp;" AB Equity","MOV_AVG_200D",TODAY()-32,TODAY()-32,"Days=T")</f>
        <v>#N/A N/A</v>
      </c>
      <c r="W183">
        <v>8.3903999999999996</v>
      </c>
      <c r="X183">
        <f>IF(B183="","",_xlfn.SINGLE(_xll.BDP(A183&amp;" AB Equity","MOV_AVG_200D")))</f>
        <v>131.46250000000001</v>
      </c>
    </row>
    <row r="184" spans="1:24" x14ac:dyDescent="0.25">
      <c r="A184" t="s">
        <v>191</v>
      </c>
      <c r="B184">
        <f>_xll.BDP(A184&amp;" AB Equity","LAST_PRICE")</f>
        <v>11.79</v>
      </c>
      <c r="C184">
        <f>_xll.BDP(A184&amp;" AB Equity","LAST_PRICE")</f>
        <v>11.79</v>
      </c>
      <c r="D184">
        <f>_xll.BDP(A184&amp;" AB Equity","RT_PX_CHG_PCT_1D")</f>
        <v>1.6378999948501587</v>
      </c>
      <c r="E184">
        <f>_xll.BDP(A184&amp;" AB Equity","CHG_PCT_1M_RT")</f>
        <v>6.6967999999999996</v>
      </c>
      <c r="F184">
        <f>_xll.BDP(A184&amp;" AB Equity","CHG_PCT_YTD_RT")</f>
        <v>21.797499999999999</v>
      </c>
      <c r="G184">
        <f>_xll.BDP(A184&amp;" AB Equity","YEST_LAST_TRADE")</f>
        <v>11.6</v>
      </c>
      <c r="H184">
        <f>_xll.BDP(A184&amp;" AB Equity","HIGH_52WEEK")</f>
        <v>15.1</v>
      </c>
      <c r="I184">
        <f>_xll.BDP(A184&amp;" AB Equity","LOW_52WEEK")</f>
        <v>8.56</v>
      </c>
      <c r="J184">
        <f>_xll.BDP(A184&amp;" AB Equity","VOLUME")</f>
        <v>622480</v>
      </c>
      <c r="K184">
        <f>_xll.BDP(A184&amp;" AB Equity","OPEN")</f>
        <v>11.5</v>
      </c>
      <c r="L184">
        <f>_xll.BDP(A184&amp;" AB Equity","LOW")</f>
        <v>11.5</v>
      </c>
      <c r="M184">
        <f>_xll.BDP(A184&amp;" AB Equity","HIGH")</f>
        <v>12.1</v>
      </c>
      <c r="N184">
        <f>_xll.BDP(A184&amp;" AB Equity","VWAP")</f>
        <v>11.8429</v>
      </c>
      <c r="O184" t="str">
        <f>_xll.BDP(A184&amp;" AB Equity","SAUDI_ARABIA_EXCHANGE_ID")</f>
        <v>8180</v>
      </c>
      <c r="P184">
        <f>_xll.BDP(A184&amp;" AB Equity","VOLUME_AVG_30D")</f>
        <v>486273.9</v>
      </c>
      <c r="Q184">
        <f>_xll.BDP(A184&amp;" AB Equity","BID")</f>
        <v>11.79</v>
      </c>
      <c r="R184">
        <f>_xll.BDP(A184&amp;" AB Equity","ASK")</f>
        <v>11.81</v>
      </c>
      <c r="S184">
        <f>_xll.BDP(A184&amp;" AB Equity","CHG_PCT_MOV_AVG_200D")</f>
        <v>10.330579999999999</v>
      </c>
      <c r="T184">
        <f>_xll.BDP(A184&amp;" AB Equity","HIGH_30D")</f>
        <v>12.7</v>
      </c>
      <c r="U184">
        <f>_xll.BDP(A184&amp;" AB Equity","LOW_30D")</f>
        <v>10.51</v>
      </c>
      <c r="V184" s="11" t="str" cm="1">
        <f t="array" aca="1" ref="V184" ca="1">_xll.BDH(A184&amp;" AB Equity","MOV_AVG_200D",TODAY()-32,TODAY()-32,"Days=T")</f>
        <v>#N/A N/A</v>
      </c>
      <c r="W184">
        <v>8.3833000000000002</v>
      </c>
      <c r="X184">
        <f>IF(B184="","",_xlfn.SINGLE(_xll.BDP(A184&amp;" AB Equity","MOV_AVG_200D")))</f>
        <v>10.84015</v>
      </c>
    </row>
    <row r="185" spans="1:24" x14ac:dyDescent="0.25">
      <c r="A185" t="s">
        <v>192</v>
      </c>
      <c r="B185">
        <f>_xll.BDP(A185&amp;" AB Equity","LAST_PRICE")</f>
        <v>32.659999999999997</v>
      </c>
      <c r="C185">
        <f>_xll.BDP(A185&amp;" AB Equity","LAST_PRICE")</f>
        <v>32.659999999999997</v>
      </c>
      <c r="D185">
        <f>_xll.BDP(A185&amp;" AB Equity","RT_PX_CHG_PCT_1D")</f>
        <v>0.616100013256073</v>
      </c>
      <c r="E185">
        <f>_xll.BDP(A185&amp;" AB Equity","CHG_PCT_1M_RT")</f>
        <v>18.677299999999999</v>
      </c>
      <c r="F185">
        <f>_xll.BDP(A185&amp;" AB Equity","CHG_PCT_YTD_RT")</f>
        <v>52.759599999999999</v>
      </c>
      <c r="G185">
        <f>_xll.BDP(A185&amp;" AB Equity","YEST_LAST_TRADE")</f>
        <v>32.46</v>
      </c>
      <c r="H185">
        <f>_xll.BDP(A185&amp;" AB Equity","HIGH_52WEEK")</f>
        <v>32.86</v>
      </c>
      <c r="I185">
        <f>_xll.BDP(A185&amp;" AB Equity","LOW_52WEEK")</f>
        <v>20.84</v>
      </c>
      <c r="J185">
        <f>_xll.BDP(A185&amp;" AB Equity","VOLUME")</f>
        <v>154128</v>
      </c>
      <c r="K185">
        <f>_xll.BDP(A185&amp;" AB Equity","OPEN")</f>
        <v>32.119999999999997</v>
      </c>
      <c r="L185">
        <f>_xll.BDP(A185&amp;" AB Equity","LOW")</f>
        <v>32.119999999999997</v>
      </c>
      <c r="M185">
        <f>_xll.BDP(A185&amp;" AB Equity","HIGH")</f>
        <v>32.86</v>
      </c>
      <c r="N185">
        <f>_xll.BDP(A185&amp;" AB Equity","VWAP")</f>
        <v>32.533499999999997</v>
      </c>
      <c r="O185" t="str">
        <f>_xll.BDP(A185&amp;" AB Equity","SAUDI_ARABIA_EXCHANGE_ID")</f>
        <v>8250</v>
      </c>
      <c r="P185">
        <f>_xll.BDP(A185&amp;" AB Equity","VOLUME_AVG_30D")</f>
        <v>223619.3</v>
      </c>
      <c r="Q185">
        <f>_xll.BDP(A185&amp;" AB Equity","BID")</f>
        <v>32.4</v>
      </c>
      <c r="R185">
        <f>_xll.BDP(A185&amp;" AB Equity","ASK")</f>
        <v>32.659999999999997</v>
      </c>
      <c r="S185">
        <f>_xll.BDP(A185&amp;" AB Equity","CHG_PCT_MOV_AVG_200D")</f>
        <v>31.270589999999999</v>
      </c>
      <c r="T185">
        <f>_xll.BDP(A185&amp;" AB Equity","HIGH_30D")</f>
        <v>32.799999999999997</v>
      </c>
      <c r="U185">
        <f>_xll.BDP(A185&amp;" AB Equity","LOW_30D")</f>
        <v>26.6</v>
      </c>
      <c r="V185" s="11" t="str" cm="1">
        <f t="array" aca="1" ref="V185" ca="1">_xll.BDH(A185&amp;" AB Equity","MOV_AVG_200D",TODAY()-32,TODAY()-32,"Days=T")</f>
        <v>#N/A N/A</v>
      </c>
      <c r="W185">
        <v>24.267900000000001</v>
      </c>
      <c r="X185">
        <f>IF(B185="","",_xlfn.SINGLE(_xll.BDP(A185&amp;" AB Equity","MOV_AVG_200D")))</f>
        <v>24.940850000000001</v>
      </c>
    </row>
    <row r="186" spans="1:24" x14ac:dyDescent="0.25">
      <c r="A186" t="s">
        <v>193</v>
      </c>
      <c r="B186">
        <f>_xll.BDP(A186&amp;" AB Equity","LAST_PRICE")</f>
        <v>10.6</v>
      </c>
      <c r="C186">
        <f>_xll.BDP(A186&amp;" AB Equity","LAST_PRICE")</f>
        <v>10.6</v>
      </c>
      <c r="D186">
        <f>_xll.BDP(A186&amp;" AB Equity","RT_PX_CHG_PCT_1D")</f>
        <v>1.6298999786376953</v>
      </c>
      <c r="E186">
        <f>_xll.BDP(A186&amp;" AB Equity","CHG_PCT_1M_RT")</f>
        <v>9.3910999999999998</v>
      </c>
      <c r="F186">
        <f>_xll.BDP(A186&amp;" AB Equity","CHG_PCT_YTD_RT")</f>
        <v>-4.3320999999999996</v>
      </c>
      <c r="G186">
        <f>_xll.BDP(A186&amp;" AB Equity","YEST_LAST_TRADE")</f>
        <v>10.43</v>
      </c>
      <c r="H186">
        <f>_xll.BDP(A186&amp;" AB Equity","HIGH_52WEEK")</f>
        <v>15.89</v>
      </c>
      <c r="I186">
        <f>_xll.BDP(A186&amp;" AB Equity","LOW_52WEEK")</f>
        <v>8.3000000000000007</v>
      </c>
      <c r="J186">
        <f>_xll.BDP(A186&amp;" AB Equity","VOLUME")</f>
        <v>392688</v>
      </c>
      <c r="K186">
        <f>_xll.BDP(A186&amp;" AB Equity","OPEN")</f>
        <v>10.44</v>
      </c>
      <c r="L186">
        <f>_xll.BDP(A186&amp;" AB Equity","LOW")</f>
        <v>10.39</v>
      </c>
      <c r="M186">
        <f>_xll.BDP(A186&amp;" AB Equity","HIGH")</f>
        <v>10.74</v>
      </c>
      <c r="N186">
        <f>_xll.BDP(A186&amp;" AB Equity","VWAP")</f>
        <v>10.6236</v>
      </c>
      <c r="O186" t="str">
        <f>_xll.BDP(A186&amp;" AB Equity","SAUDI_ARABIA_EXCHANGE_ID")</f>
        <v>8100</v>
      </c>
      <c r="P186">
        <f>_xll.BDP(A186&amp;" AB Equity","VOLUME_AVG_30D")</f>
        <v>280569.40000000002</v>
      </c>
      <c r="Q186">
        <f>_xll.BDP(A186&amp;" AB Equity","BID")</f>
        <v>10.6</v>
      </c>
      <c r="R186">
        <f>_xll.BDP(A186&amp;" AB Equity","ASK")</f>
        <v>10.65</v>
      </c>
      <c r="S186">
        <f>_xll.BDP(A186&amp;" AB Equity","CHG_PCT_MOV_AVG_200D")</f>
        <v>-5.1456720000000002</v>
      </c>
      <c r="T186">
        <f>_xll.BDP(A186&amp;" AB Equity","HIGH_30D")</f>
        <v>10.99</v>
      </c>
      <c r="U186">
        <f>_xll.BDP(A186&amp;" AB Equity","LOW_30D")</f>
        <v>9</v>
      </c>
      <c r="V186" s="11" t="str" cm="1">
        <f t="array" aca="1" ref="V186" ca="1">_xll.BDH(A186&amp;" AB Equity","MOV_AVG_200D",TODAY()-32,TODAY()-32,"Days=T")</f>
        <v>#N/A N/A</v>
      </c>
      <c r="W186">
        <v>24.2746</v>
      </c>
      <c r="X186">
        <f>IF(B186="","",_xlfn.SINGLE(_xll.BDP(A186&amp;" AB Equity","MOV_AVG_200D")))</f>
        <v>11.2172</v>
      </c>
    </row>
    <row r="187" spans="1:24" x14ac:dyDescent="0.25">
      <c r="A187" t="s">
        <v>194</v>
      </c>
      <c r="B187">
        <f>_xll.BDP(A187&amp;" AB Equity","LAST_PRICE")</f>
        <v>3.95</v>
      </c>
      <c r="C187">
        <f>_xll.BDP(A187&amp;" AB Equity","LAST_PRICE")</f>
        <v>3.95</v>
      </c>
      <c r="D187">
        <f>_xll.BDP(A187&amp;" AB Equity","RT_PX_CHG_PCT_1D")</f>
        <v>3.4031000137329102</v>
      </c>
      <c r="E187">
        <f>_xll.BDP(A187&amp;" AB Equity","CHG_PCT_1M_RT")</f>
        <v>7.6294000000000004</v>
      </c>
      <c r="F187">
        <f>_xll.BDP(A187&amp;" AB Equity","CHG_PCT_YTD_RT")</f>
        <v>0.50890000000000002</v>
      </c>
      <c r="G187">
        <f>_xll.BDP(A187&amp;" AB Equity","YEST_LAST_TRADE")</f>
        <v>3.82</v>
      </c>
      <c r="H187">
        <f>_xll.BDP(A187&amp;" AB Equity","HIGH_52WEEK")</f>
        <v>6.4</v>
      </c>
      <c r="I187">
        <f>_xll.BDP(A187&amp;" AB Equity","LOW_52WEEK")</f>
        <v>3.51</v>
      </c>
      <c r="J187">
        <f>_xll.BDP(A187&amp;" AB Equity","VOLUME")</f>
        <v>508068</v>
      </c>
      <c r="K187">
        <f>_xll.BDP(A187&amp;" AB Equity","OPEN")</f>
        <v>3.85</v>
      </c>
      <c r="L187">
        <f>_xll.BDP(A187&amp;" AB Equity","LOW")</f>
        <v>3.81</v>
      </c>
      <c r="M187">
        <f>_xll.BDP(A187&amp;" AB Equity","HIGH")</f>
        <v>3.96</v>
      </c>
      <c r="N187">
        <f>_xll.BDP(A187&amp;" AB Equity","VWAP")</f>
        <v>3.9045999999999998</v>
      </c>
      <c r="O187" t="str">
        <f>_xll.BDP(A187&amp;" AB Equity","SAUDI_ARABIA_EXCHANGE_ID")</f>
        <v>8260</v>
      </c>
      <c r="P187">
        <f>_xll.BDP(A187&amp;" AB Equity","VOLUME_AVG_30D")</f>
        <v>373698.7</v>
      </c>
      <c r="Q187">
        <f>_xll.BDP(A187&amp;" AB Equity","BID")</f>
        <v>3.95</v>
      </c>
      <c r="R187">
        <f>_xll.BDP(A187&amp;" AB Equity","ASK")</f>
        <v>3.96</v>
      </c>
      <c r="S187">
        <f>_xll.BDP(A187&amp;" AB Equity","CHG_PCT_MOV_AVG_200D")</f>
        <v>-5.8133429999999997</v>
      </c>
      <c r="T187">
        <f>_xll.BDP(A187&amp;" AB Equity","HIGH_30D")</f>
        <v>4.3099999999999996</v>
      </c>
      <c r="U187">
        <f>_xll.BDP(A187&amp;" AB Equity","LOW_30D")</f>
        <v>3.64</v>
      </c>
      <c r="V187" s="11" t="str" cm="1">
        <f t="array" aca="1" ref="V187" ca="1">_xll.BDH(A187&amp;" AB Equity","MOV_AVG_200D",TODAY()-32,TODAY()-32,"Days=T")</f>
        <v>#N/A N/A</v>
      </c>
      <c r="W187">
        <v>24.275099999999998</v>
      </c>
      <c r="X187">
        <f>IF(B187="","",_xlfn.SINGLE(_xll.BDP(A187&amp;" AB Equity","MOV_AVG_200D")))</f>
        <v>4.1938000000000004</v>
      </c>
    </row>
    <row r="188" spans="1:24" x14ac:dyDescent="0.25">
      <c r="A188" t="s">
        <v>195</v>
      </c>
      <c r="B188">
        <f>_xll.BDP(A188&amp;" AB Equity","LAST_PRICE")</f>
        <v>174.9</v>
      </c>
      <c r="C188">
        <f>_xll.BDP(A188&amp;" AB Equity","LAST_PRICE")</f>
        <v>174.9</v>
      </c>
      <c r="D188">
        <f>_xll.BDP(A188&amp;" AB Equity","RT_PX_CHG_PCT_1D")</f>
        <v>-1.575700044631958</v>
      </c>
      <c r="E188">
        <f>_xll.BDP(A188&amp;" AB Equity","CHG_PCT_1M_RT")</f>
        <v>0.63290000000000002</v>
      </c>
      <c r="F188">
        <f>_xll.BDP(A188&amp;" AB Equity","CHG_PCT_YTD_RT")</f>
        <v>25.917899999999999</v>
      </c>
      <c r="G188">
        <f>_xll.BDP(A188&amp;" AB Equity","YEST_LAST_TRADE")</f>
        <v>177.7</v>
      </c>
      <c r="H188">
        <f>_xll.BDP(A188&amp;" AB Equity","HIGH_52WEEK")</f>
        <v>200</v>
      </c>
      <c r="I188">
        <f>_xll.BDP(A188&amp;" AB Equity","LOW_52WEEK")</f>
        <v>131.4</v>
      </c>
      <c r="J188">
        <f>_xll.BDP(A188&amp;" AB Equity","VOLUME")</f>
        <v>179347</v>
      </c>
      <c r="K188">
        <f>_xll.BDP(A188&amp;" AB Equity","OPEN")</f>
        <v>177.1</v>
      </c>
      <c r="L188">
        <f>_xll.BDP(A188&amp;" AB Equity","LOW")</f>
        <v>173</v>
      </c>
      <c r="M188">
        <f>_xll.BDP(A188&amp;" AB Equity","HIGH")</f>
        <v>177.7</v>
      </c>
      <c r="N188">
        <f>_xll.BDP(A188&amp;" AB Equity","VWAP")</f>
        <v>174.93620000000001</v>
      </c>
      <c r="O188" t="str">
        <f>_xll.BDP(A188&amp;" AB Equity","SAUDI_ARABIA_EXCHANGE_ID")</f>
        <v>8210</v>
      </c>
      <c r="P188">
        <f>_xll.BDP(A188&amp;" AB Equity","VOLUME_AVG_30D")</f>
        <v>160000.79999999999</v>
      </c>
      <c r="Q188">
        <f>_xll.BDP(A188&amp;" AB Equity","BID")</f>
        <v>174.9</v>
      </c>
      <c r="R188">
        <f>_xll.BDP(A188&amp;" AB Equity","ASK")</f>
        <v>175</v>
      </c>
      <c r="S188">
        <f>_xll.BDP(A188&amp;" AB Equity","CHG_PCT_MOV_AVG_200D")</f>
        <v>7.0793790000000003</v>
      </c>
      <c r="T188">
        <f>_xll.BDP(A188&amp;" AB Equity","HIGH_30D")</f>
        <v>200</v>
      </c>
      <c r="U188">
        <f>_xll.BDP(A188&amp;" AB Equity","LOW_30D")</f>
        <v>166</v>
      </c>
      <c r="V188" s="11" t="str" cm="1">
        <f t="array" aca="1" ref="V188" ca="1">_xll.BDH(A188&amp;" AB Equity","MOV_AVG_200D",TODAY()-32,TODAY()-32,"Days=T")</f>
        <v>#N/A N/A</v>
      </c>
      <c r="W188">
        <v>24.2729</v>
      </c>
      <c r="X188">
        <f>IF(B188="","",_xlfn.SINGLE(_xll.BDP(A188&amp;" AB Equity","MOV_AVG_200D")))</f>
        <v>163.15</v>
      </c>
    </row>
    <row r="189" spans="1:24" x14ac:dyDescent="0.25">
      <c r="A189" t="s">
        <v>196</v>
      </c>
      <c r="B189">
        <f>_xll.BDP(A189&amp;" AB Equity","LAST_PRICE")</f>
        <v>154.6</v>
      </c>
      <c r="C189">
        <f>_xll.BDP(A189&amp;" AB Equity","LAST_PRICE")</f>
        <v>154.6</v>
      </c>
      <c r="D189">
        <f>_xll.BDP(A189&amp;" AB Equity","RT_PX_CHG_PCT_1D")</f>
        <v>-0.5788000226020813</v>
      </c>
      <c r="E189">
        <f>_xll.BDP(A189&amp;" AB Equity","CHG_PCT_1M_RT")</f>
        <v>2.5878999999999999</v>
      </c>
      <c r="F189">
        <f>_xll.BDP(A189&amp;" AB Equity","CHG_PCT_YTD_RT")</f>
        <v>33.390900000000002</v>
      </c>
      <c r="G189">
        <f>_xll.BDP(A189&amp;" AB Equity","YEST_LAST_TRADE")</f>
        <v>155.5</v>
      </c>
      <c r="H189">
        <f>_xll.BDP(A189&amp;" AB Equity","HIGH_52WEEK")</f>
        <v>159.6</v>
      </c>
      <c r="I189">
        <f>_xll.BDP(A189&amp;" AB Equity","LOW_52WEEK")</f>
        <v>82.2</v>
      </c>
      <c r="J189">
        <f>_xll.BDP(A189&amp;" AB Equity","VOLUME")</f>
        <v>303592</v>
      </c>
      <c r="K189">
        <f>_xll.BDP(A189&amp;" AB Equity","OPEN")</f>
        <v>155.5</v>
      </c>
      <c r="L189">
        <f>_xll.BDP(A189&amp;" AB Equity","LOW")</f>
        <v>154.19999999999999</v>
      </c>
      <c r="M189">
        <f>_xll.BDP(A189&amp;" AB Equity","HIGH")</f>
        <v>156.30000000000001</v>
      </c>
      <c r="N189">
        <f>_xll.BDP(A189&amp;" AB Equity","VWAP")</f>
        <v>155.38579999999999</v>
      </c>
      <c r="O189" t="str">
        <f>_xll.BDP(A189&amp;" AB Equity","SAUDI_ARABIA_EXCHANGE_ID")</f>
        <v>8313</v>
      </c>
      <c r="P189">
        <f>_xll.BDP(A189&amp;" AB Equity","VOLUME_AVG_30D")</f>
        <v>312410.5</v>
      </c>
      <c r="Q189">
        <f>_xll.BDP(A189&amp;" AB Equity","BID")</f>
        <v>154.5</v>
      </c>
      <c r="R189">
        <f>_xll.BDP(A189&amp;" AB Equity","ASK")</f>
        <v>156</v>
      </c>
      <c r="S189">
        <f>_xll.BDP(A189&amp;" AB Equity","CHG_PCT_MOV_AVG_200D")</f>
        <v>22.98049</v>
      </c>
      <c r="T189">
        <f>_xll.BDP(A189&amp;" AB Equity","HIGH_30D")</f>
        <v>159.6</v>
      </c>
      <c r="U189">
        <f>_xll.BDP(A189&amp;" AB Equity","LOW_30D")</f>
        <v>141.6</v>
      </c>
      <c r="V189" s="11" t="str" cm="1">
        <f t="array" aca="1" ref="V189" ca="1">_xll.BDH(A189&amp;" AB Equity","MOV_AVG_200D",TODAY()-32,TODAY()-32,"Days=T")</f>
        <v>#N/A N/A</v>
      </c>
      <c r="W189">
        <v>24.266999999999999</v>
      </c>
      <c r="X189">
        <f>IF(B189="","",_xlfn.SINGLE(_xll.BDP(A189&amp;" AB Equity","MOV_AVG_200D")))</f>
        <v>126.03619999999999</v>
      </c>
    </row>
    <row r="190" spans="1:24" x14ac:dyDescent="0.25">
      <c r="A190" t="s">
        <v>197</v>
      </c>
      <c r="B190">
        <f>_xll.BDP(A190&amp;" AB Equity","LAST_PRICE")</f>
        <v>13.33</v>
      </c>
      <c r="C190">
        <f>_xll.BDP(A190&amp;" AB Equity","LAST_PRICE")</f>
        <v>13.33</v>
      </c>
      <c r="D190">
        <f>_xll.BDP(A190&amp;" AB Equity","RT_PX_CHG_PCT_1D")</f>
        <v>0.52789998054504395</v>
      </c>
      <c r="E190">
        <f>_xll.BDP(A190&amp;" AB Equity","CHG_PCT_1M_RT")</f>
        <v>9.2622999999999998</v>
      </c>
      <c r="F190">
        <f>_xll.BDP(A190&amp;" AB Equity","CHG_PCT_YTD_RT")</f>
        <v>26.710999999999999</v>
      </c>
      <c r="G190">
        <f>_xll.BDP(A190&amp;" AB Equity","YEST_LAST_TRADE")</f>
        <v>13.26</v>
      </c>
      <c r="H190">
        <f>_xll.BDP(A190&amp;" AB Equity","HIGH_52WEEK")</f>
        <v>15.25</v>
      </c>
      <c r="I190">
        <f>_xll.BDP(A190&amp;" AB Equity","LOW_52WEEK")</f>
        <v>9</v>
      </c>
      <c r="J190">
        <f>_xll.BDP(A190&amp;" AB Equity","VOLUME")</f>
        <v>162064</v>
      </c>
      <c r="K190">
        <f>_xll.BDP(A190&amp;" AB Equity","OPEN")</f>
        <v>13.25</v>
      </c>
      <c r="L190">
        <f>_xll.BDP(A190&amp;" AB Equity","LOW")</f>
        <v>13.07</v>
      </c>
      <c r="M190">
        <f>_xll.BDP(A190&amp;" AB Equity","HIGH")</f>
        <v>13.4</v>
      </c>
      <c r="N190">
        <f>_xll.BDP(A190&amp;" AB Equity","VWAP")</f>
        <v>13.3035</v>
      </c>
      <c r="O190" t="str">
        <f>_xll.BDP(A190&amp;" AB Equity","SAUDI_ARABIA_EXCHANGE_ID")</f>
        <v>8120</v>
      </c>
      <c r="P190">
        <f>_xll.BDP(A190&amp;" AB Equity","VOLUME_AVG_30D")</f>
        <v>205084.6</v>
      </c>
      <c r="Q190">
        <f>_xll.BDP(A190&amp;" AB Equity","BID")</f>
        <v>13.32</v>
      </c>
      <c r="R190">
        <f>_xll.BDP(A190&amp;" AB Equity","ASK")</f>
        <v>13.33</v>
      </c>
      <c r="S190">
        <f>_xll.BDP(A190&amp;" AB Equity","CHG_PCT_MOV_AVG_200D")</f>
        <v>16.209980000000002</v>
      </c>
      <c r="T190">
        <f>_xll.BDP(A190&amp;" AB Equity","HIGH_30D")</f>
        <v>13.59</v>
      </c>
      <c r="U190">
        <f>_xll.BDP(A190&amp;" AB Equity","LOW_30D")</f>
        <v>10.99</v>
      </c>
      <c r="V190" s="11" t="str" cm="1">
        <f t="array" aca="1" ref="V190" ca="1">_xll.BDH(A190&amp;" AB Equity","MOV_AVG_200D",TODAY()-32,TODAY()-32,"Days=T")</f>
        <v>#N/A N/A</v>
      </c>
      <c r="W190">
        <v>24.2621</v>
      </c>
      <c r="X190">
        <f>IF(B190="","",_xlfn.SINGLE(_xll.BDP(A190&amp;" AB Equity","MOV_AVG_200D")))</f>
        <v>11.444800000000001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6.55</v>
      </c>
      <c r="C192">
        <f>_xll.BDP(A192&amp;" AB Equity","LAST_PRICE")</f>
        <v>6.55</v>
      </c>
      <c r="D192">
        <f>_xll.BDP(A192&amp;" AB Equity","RT_PX_CHG_PCT_1D")</f>
        <v>-2.238800048828125</v>
      </c>
      <c r="E192">
        <f>_xll.BDP(A192&amp;" AB Equity","CHG_PCT_1M_RT")</f>
        <v>-7.2237999999999998</v>
      </c>
      <c r="F192">
        <f>_xll.BDP(A192&amp;" AB Equity","CHG_PCT_YTD_RT")</f>
        <v>38.477800000000002</v>
      </c>
      <c r="G192">
        <f>_xll.BDP(A192&amp;" AB Equity","YEST_LAST_TRADE")</f>
        <v>6.7</v>
      </c>
      <c r="H192">
        <f>_xll.BDP(A192&amp;" AB Equity","HIGH_52WEEK")</f>
        <v>7.97</v>
      </c>
      <c r="I192">
        <f>_xll.BDP(A192&amp;" AB Equity","LOW_52WEEK")</f>
        <v>4.26</v>
      </c>
      <c r="J192">
        <f>_xll.BDP(A192&amp;" AB Equity","VOLUME")</f>
        <v>3530299</v>
      </c>
      <c r="K192">
        <f>_xll.BDP(A192&amp;" AB Equity","OPEN")</f>
        <v>6.7</v>
      </c>
      <c r="L192">
        <f>_xll.BDP(A192&amp;" AB Equity","LOW")</f>
        <v>6.54</v>
      </c>
      <c r="M192">
        <f>_xll.BDP(A192&amp;" AB Equity","HIGH")</f>
        <v>6.7</v>
      </c>
      <c r="N192">
        <f>_xll.BDP(A192&amp;" AB Equity","VWAP")</f>
        <v>6.5888999999999998</v>
      </c>
      <c r="O192" t="str">
        <f>_xll.BDP(A192&amp;" AB Equity","SAUDI_ARABIA_EXCHANGE_ID")</f>
        <v>2200</v>
      </c>
      <c r="P192">
        <f>_xll.BDP(A192&amp;" AB Equity","VOLUME_AVG_30D")</f>
        <v>8022129</v>
      </c>
      <c r="Q192">
        <f>_xll.BDP(A192&amp;" AB Equity","BID")</f>
        <v>6.54</v>
      </c>
      <c r="R192">
        <f>_xll.BDP(A192&amp;" AB Equity","ASK")</f>
        <v>6.55</v>
      </c>
      <c r="S192">
        <f>_xll.BDP(A192&amp;" AB Equity","CHG_PCT_MOV_AVG_200D")</f>
        <v>13.846399999999999</v>
      </c>
      <c r="T192">
        <f>_xll.BDP(A192&amp;" AB Equity","HIGH_30D")</f>
        <v>7.97</v>
      </c>
      <c r="U192">
        <f>_xll.BDP(A192&amp;" AB Equity","LOW_30D")</f>
        <v>6.66</v>
      </c>
      <c r="V192" s="11" t="str" cm="1">
        <f t="array" aca="1" ref="V192" ca="1">_xll.BDH(A192&amp;" AB Equity","MOV_AVG_200D",TODAY()-32,TODAY()-32,"Days=T")</f>
        <v>#N/A N/A</v>
      </c>
      <c r="W192">
        <v>158.04349999999999</v>
      </c>
      <c r="X192">
        <f>IF(B192="","",_xlfn.SINGLE(_xll.BDP(A192&amp;" AB Equity","MOV_AVG_200D")))</f>
        <v>5.7621500000000001</v>
      </c>
    </row>
    <row r="193" spans="1:24" x14ac:dyDescent="0.25">
      <c r="A193" t="s">
        <v>200</v>
      </c>
      <c r="B193">
        <f>_xll.BDP(A193&amp;" AB Equity","LAST_PRICE")</f>
        <v>50.45</v>
      </c>
      <c r="C193">
        <f>_xll.BDP(A193&amp;" AB Equity","LAST_PRICE")</f>
        <v>50.45</v>
      </c>
      <c r="D193">
        <f>_xll.BDP(A193&amp;" AB Equity","RT_PX_CHG_PCT_1D")</f>
        <v>0.89999997615814209</v>
      </c>
      <c r="E193">
        <f>_xll.BDP(A193&amp;" AB Equity","CHG_PCT_1M_RT")</f>
        <v>-7.1757</v>
      </c>
      <c r="F193">
        <f>_xll.BDP(A193&amp;" AB Equity","CHG_PCT_YTD_RT")</f>
        <v>35.691200000000002</v>
      </c>
      <c r="G193">
        <f>_xll.BDP(A193&amp;" AB Equity","YEST_LAST_TRADE")</f>
        <v>50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236985</v>
      </c>
      <c r="K193">
        <f>_xll.BDP(A193&amp;" AB Equity","OPEN")</f>
        <v>49.7</v>
      </c>
      <c r="L193">
        <f>_xll.BDP(A193&amp;" AB Equity","LOW")</f>
        <v>49.6</v>
      </c>
      <c r="M193">
        <f>_xll.BDP(A193&amp;" AB Equity","HIGH")</f>
        <v>50.9</v>
      </c>
      <c r="N193">
        <f>_xll.BDP(A193&amp;" AB Equity","VWAP")</f>
        <v>50.334499999999998</v>
      </c>
      <c r="O193" t="str">
        <f>_xll.BDP(A193&amp;" AB Equity","SAUDI_ARABIA_EXCHANGE_ID")</f>
        <v>1320</v>
      </c>
      <c r="P193">
        <f>_xll.BDP(A193&amp;" AB Equity","VOLUME_AVG_30D")</f>
        <v>328640.09999999998</v>
      </c>
      <c r="Q193">
        <f>_xll.BDP(A193&amp;" AB Equity","BID")</f>
        <v>50.3</v>
      </c>
      <c r="R193">
        <f>_xll.BDP(A193&amp;" AB Equity","ASK")</f>
        <v>50.45</v>
      </c>
      <c r="S193">
        <f>_xll.BDP(A193&amp;" AB Equity","CHG_PCT_MOV_AVG_200D")</f>
        <v>7.1078130000000002</v>
      </c>
      <c r="T193">
        <f>_xll.BDP(A193&amp;" AB Equity","HIGH_30D")</f>
        <v>58</v>
      </c>
      <c r="U193">
        <f>_xll.BDP(A193&amp;" AB Equity","LOW_30D")</f>
        <v>49.58</v>
      </c>
      <c r="V193" s="11" t="str" cm="1">
        <f t="array" aca="1" ref="V193" ca="1">_xll.BDH(A193&amp;" AB Equity","MOV_AVG_200D",TODAY()-32,TODAY()-32,"Days=T")</f>
        <v>#N/A N/A</v>
      </c>
      <c r="W193">
        <v>158.07400000000001</v>
      </c>
      <c r="X193">
        <f>IF(B193="","",_xlfn.SINGLE(_xll.BDP(A193&amp;" AB Equity","MOV_AVG_200D")))</f>
        <v>46.775300000000001</v>
      </c>
    </row>
    <row r="194" spans="1:24" x14ac:dyDescent="0.25">
      <c r="A194" t="s">
        <v>201</v>
      </c>
      <c r="B194">
        <f>_xll.BDP(A194&amp;" AB Equity","LAST_PRICE")</f>
        <v>25.42</v>
      </c>
      <c r="C194">
        <f>_xll.BDP(A194&amp;" AB Equity","LAST_PRICE")</f>
        <v>25.42</v>
      </c>
      <c r="D194">
        <f>_xll.BDP(A194&amp;" AB Equity","RT_PX_CHG_PCT_1D")</f>
        <v>1.3557000160217285</v>
      </c>
      <c r="E194">
        <f>_xll.BDP(A194&amp;" AB Equity","CHG_PCT_1M_RT")</f>
        <v>3.8399000000000001</v>
      </c>
      <c r="F194">
        <f>_xll.BDP(A194&amp;" AB Equity","CHG_PCT_YTD_RT")</f>
        <v>-1.2432000000000001</v>
      </c>
      <c r="G194">
        <f>_xll.BDP(A194&amp;" AB Equity","YEST_LAST_TRADE")</f>
        <v>25.08</v>
      </c>
      <c r="H194">
        <f>_xll.BDP(A194&amp;" AB Equity","HIGH_52WEEK")</f>
        <v>37.94</v>
      </c>
      <c r="I194">
        <f>_xll.BDP(A194&amp;" AB Equity","LOW_52WEEK")</f>
        <v>23</v>
      </c>
      <c r="J194">
        <f>_xll.BDP(A194&amp;" AB Equity","VOLUME")</f>
        <v>72809</v>
      </c>
      <c r="K194">
        <f>_xll.BDP(A194&amp;" AB Equity","OPEN")</f>
        <v>24.83</v>
      </c>
      <c r="L194">
        <f>_xll.BDP(A194&amp;" AB Equity","LOW")</f>
        <v>24.83</v>
      </c>
      <c r="M194">
        <f>_xll.BDP(A194&amp;" AB Equity","HIGH")</f>
        <v>25.54</v>
      </c>
      <c r="N194">
        <f>_xll.BDP(A194&amp;" AB Equity","VWAP")</f>
        <v>25.3597</v>
      </c>
      <c r="O194" t="str">
        <f>_xll.BDP(A194&amp;" AB Equity","SAUDI_ARABIA_EXCHANGE_ID")</f>
        <v>1323</v>
      </c>
      <c r="P194">
        <f>_xll.BDP(A194&amp;" AB Equity","VOLUME_AVG_30D")</f>
        <v>112664</v>
      </c>
      <c r="Q194">
        <f>_xll.BDP(A194&amp;" AB Equity","BID")</f>
        <v>25.4</v>
      </c>
      <c r="R194">
        <f>_xll.BDP(A194&amp;" AB Equity","ASK")</f>
        <v>25.42</v>
      </c>
      <c r="S194">
        <f>_xll.BDP(A194&amp;" AB Equity","CHG_PCT_MOV_AVG_200D")</f>
        <v>-3.6935090000000002</v>
      </c>
      <c r="T194">
        <f>_xll.BDP(A194&amp;" AB Equity","HIGH_30D")</f>
        <v>26</v>
      </c>
      <c r="U194">
        <f>_xll.BDP(A194&amp;" AB Equity","LOW_30D")</f>
        <v>24.13</v>
      </c>
      <c r="V194" s="11" t="str" cm="1">
        <f t="array" aca="1" ref="V194" ca="1">_xll.BDH(A194&amp;" AB Equity","MOV_AVG_200D",TODAY()-32,TODAY()-32,"Days=T")</f>
        <v>#N/A N/A</v>
      </c>
      <c r="W194">
        <v>28.5974</v>
      </c>
      <c r="X194">
        <f>IF(B194="","",_xlfn.SINGLE(_xll.BDP(A194&amp;" AB Equity","MOV_AVG_200D")))</f>
        <v>26.4572</v>
      </c>
    </row>
    <row r="195" spans="1:24" x14ac:dyDescent="0.25">
      <c r="A195" t="s">
        <v>202</v>
      </c>
      <c r="B195">
        <f>_xll.BDP(A195&amp;" AB Equity","LAST_PRICE")</f>
        <v>12.66</v>
      </c>
      <c r="C195">
        <f>_xll.BDP(A195&amp;" AB Equity","LAST_PRICE")</f>
        <v>12.66</v>
      </c>
      <c r="D195">
        <f>_xll.BDP(A195&amp;" AB Equity","RT_PX_CHG_PCT_1D")</f>
        <v>2.5931999683380127</v>
      </c>
      <c r="E195">
        <f>_xll.BDP(A195&amp;" AB Equity","CHG_PCT_1M_RT")</f>
        <v>5.9413999999999998</v>
      </c>
      <c r="F195">
        <f>_xll.BDP(A195&amp;" AB Equity","CHG_PCT_YTD_RT")</f>
        <v>-5.7333999999999996</v>
      </c>
      <c r="G195">
        <f>_xll.BDP(A195&amp;" AB Equity","YEST_LAST_TRADE")</f>
        <v>12.34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434530</v>
      </c>
      <c r="K195">
        <f>_xll.BDP(A195&amp;" AB Equity","OPEN")</f>
        <v>12.4</v>
      </c>
      <c r="L195">
        <f>_xll.BDP(A195&amp;" AB Equity","LOW")</f>
        <v>12.34</v>
      </c>
      <c r="M195">
        <f>_xll.BDP(A195&amp;" AB Equity","HIGH")</f>
        <v>12.79</v>
      </c>
      <c r="N195">
        <f>_xll.BDP(A195&amp;" AB Equity","VWAP")</f>
        <v>12.629799999999999</v>
      </c>
      <c r="O195" t="str">
        <f>_xll.BDP(A195&amp;" AB Equity","SAUDI_ARABIA_EXCHANGE_ID")</f>
        <v>2220</v>
      </c>
      <c r="P195">
        <f>_xll.BDP(A195&amp;" AB Equity","VOLUME_AVG_30D")</f>
        <v>171131.5</v>
      </c>
      <c r="Q195">
        <f>_xll.BDP(A195&amp;" AB Equity","BID")</f>
        <v>12.66</v>
      </c>
      <c r="R195">
        <f>_xll.BDP(A195&amp;" AB Equity","ASK")</f>
        <v>12.68</v>
      </c>
      <c r="S195">
        <f>_xll.BDP(A195&amp;" AB Equity","CHG_PCT_MOV_AVG_200D")</f>
        <v>-9.0941860000000005</v>
      </c>
      <c r="T195">
        <f>_xll.BDP(A195&amp;" AB Equity","HIGH_30D")</f>
        <v>12.81</v>
      </c>
      <c r="U195">
        <f>_xll.BDP(A195&amp;" AB Equity","LOW_30D")</f>
        <v>11.4</v>
      </c>
      <c r="V195" s="11" t="str" cm="1">
        <f t="array" aca="1" ref="V195" ca="1">_xll.BDH(A195&amp;" AB Equity","MOV_AVG_200D",TODAY()-32,TODAY()-32,"Days=T")</f>
        <v>#N/A N/A</v>
      </c>
      <c r="W195">
        <v>28.545100000000001</v>
      </c>
      <c r="X195">
        <f>IF(B195="","",_xlfn.SINGLE(_xll.BDP(A195&amp;" AB Equity","MOV_AVG_200D")))</f>
        <v>13.871499999999999</v>
      </c>
    </row>
    <row r="196" spans="1:24" x14ac:dyDescent="0.25">
      <c r="A196" t="s">
        <v>203</v>
      </c>
      <c r="B196">
        <f>_xll.BDP(A196&amp;" AB Equity","LAST_PRICE")</f>
        <v>71.2</v>
      </c>
      <c r="C196">
        <f>_xll.BDP(A196&amp;" AB Equity","LAST_PRICE")</f>
        <v>71.2</v>
      </c>
      <c r="D196">
        <f>_xll.BDP(A196&amp;" AB Equity","RT_PX_CHG_PCT_1D")</f>
        <v>-0.97359997034072876</v>
      </c>
      <c r="E196">
        <f>_xll.BDP(A196&amp;" AB Equity","CHG_PCT_1M_RT")</f>
        <v>-5.3190999999999997</v>
      </c>
      <c r="F196">
        <f>_xll.BDP(A196&amp;" AB Equity","CHG_PCT_YTD_RT")</f>
        <v>-19.090900000000001</v>
      </c>
      <c r="G196">
        <f>_xll.BDP(A196&amp;" AB Equity","YEST_LAST_TRADE")</f>
        <v>71.900000000000006</v>
      </c>
      <c r="H196">
        <f>_xll.BDP(A196&amp;" AB Equity","HIGH_52WEEK")</f>
        <v>117.5</v>
      </c>
      <c r="I196">
        <f>_xll.BDP(A196&amp;" AB Equity","LOW_52WEEK")</f>
        <v>60.3</v>
      </c>
      <c r="J196">
        <f>_xll.BDP(A196&amp;" AB Equity","VOLUME")</f>
        <v>293157</v>
      </c>
      <c r="K196">
        <f>_xll.BDP(A196&amp;" AB Equity","OPEN")</f>
        <v>71.900000000000006</v>
      </c>
      <c r="L196">
        <f>_xll.BDP(A196&amp;" AB Equity","LOW")</f>
        <v>70.75</v>
      </c>
      <c r="M196">
        <f>_xll.BDP(A196&amp;" AB Equity","HIGH")</f>
        <v>72</v>
      </c>
      <c r="N196">
        <f>_xll.BDP(A196&amp;" AB Equity","VWAP")</f>
        <v>71.1768</v>
      </c>
      <c r="O196" t="str">
        <f>_xll.BDP(A196&amp;" AB Equity","SAUDI_ARABIA_EXCHANGE_ID")</f>
        <v>1322</v>
      </c>
      <c r="P196">
        <f>_xll.BDP(A196&amp;" AB Equity","VOLUME_AVG_30D")</f>
        <v>567750.40000000002</v>
      </c>
      <c r="Q196">
        <f>_xll.BDP(A196&amp;" AB Equity","BID")</f>
        <v>71.2</v>
      </c>
      <c r="R196">
        <f>_xll.BDP(A196&amp;" AB Equity","ASK")</f>
        <v>71.45</v>
      </c>
      <c r="S196">
        <f>_xll.BDP(A196&amp;" AB Equity","CHG_PCT_MOV_AVG_200D")</f>
        <v>-14.761279999999999</v>
      </c>
      <c r="T196">
        <f>_xll.BDP(A196&amp;" AB Equity","HIGH_30D")</f>
        <v>82.65</v>
      </c>
      <c r="U196">
        <f>_xll.BDP(A196&amp;" AB Equity","LOW_30D")</f>
        <v>70.650000000000006</v>
      </c>
      <c r="V196" s="11" t="str" cm="1">
        <f t="array" aca="1" ref="V196" ca="1">_xll.BDH(A196&amp;" AB Equity","MOV_AVG_200D",TODAY()-32,TODAY()-32,"Days=T")</f>
        <v>#N/A N/A</v>
      </c>
      <c r="W196">
        <v>79.715999999999994</v>
      </c>
      <c r="X196">
        <f>IF(B196="","",_xlfn.SINGLE(_xll.BDP(A196&amp;" AB Equity","MOV_AVG_200D")))</f>
        <v>83.764750000000006</v>
      </c>
    </row>
    <row r="197" spans="1:24" x14ac:dyDescent="0.25">
      <c r="A197" t="s">
        <v>204</v>
      </c>
      <c r="B197">
        <f>_xll.BDP(A197&amp;" AB Equity","LAST_PRICE")</f>
        <v>17.920000000000002</v>
      </c>
      <c r="C197">
        <f>_xll.BDP(A197&amp;" AB Equity","LAST_PRICE")</f>
        <v>17.920000000000002</v>
      </c>
      <c r="D197">
        <f>_xll.BDP(A197&amp;" AB Equity","RT_PX_CHG_PCT_1D")</f>
        <v>2.8111999034881592</v>
      </c>
      <c r="E197">
        <f>_xll.BDP(A197&amp;" AB Equity","CHG_PCT_1M_RT")</f>
        <v>-8.9893000000000001</v>
      </c>
      <c r="F197">
        <f>_xll.BDP(A197&amp;" AB Equity","CHG_PCT_YTD_RT")</f>
        <v>-15.7103</v>
      </c>
      <c r="G197">
        <f>_xll.BDP(A197&amp;" AB Equity","YEST_LAST_TRADE")</f>
        <v>17.43</v>
      </c>
      <c r="H197">
        <f>_xll.BDP(A197&amp;" AB Equity","HIGH_52WEEK")</f>
        <v>31.52</v>
      </c>
      <c r="I197">
        <f>_xll.BDP(A197&amp;" AB Equity","LOW_52WEEK")</f>
        <v>15.7</v>
      </c>
      <c r="J197">
        <f>_xll.BDP(A197&amp;" AB Equity","VOLUME")</f>
        <v>978878</v>
      </c>
      <c r="K197">
        <f>_xll.BDP(A197&amp;" AB Equity","OPEN")</f>
        <v>17.47</v>
      </c>
      <c r="L197">
        <f>_xll.BDP(A197&amp;" AB Equity","LOW")</f>
        <v>17.46</v>
      </c>
      <c r="M197">
        <f>_xll.BDP(A197&amp;" AB Equity","HIGH")</f>
        <v>18.22</v>
      </c>
      <c r="N197">
        <f>_xll.BDP(A197&amp;" AB Equity","VWAP")</f>
        <v>18.003</v>
      </c>
      <c r="O197" t="str">
        <f>_xll.BDP(A197&amp;" AB Equity","SAUDI_ARABIA_EXCHANGE_ID")</f>
        <v>1202</v>
      </c>
      <c r="P197">
        <f>_xll.BDP(A197&amp;" AB Equity","VOLUME_AVG_30D")</f>
        <v>731867</v>
      </c>
      <c r="Q197">
        <f>_xll.BDP(A197&amp;" AB Equity","BID")</f>
        <v>17.899999999999999</v>
      </c>
      <c r="R197">
        <f>_xll.BDP(A197&amp;" AB Equity","ASK")</f>
        <v>17.920000000000002</v>
      </c>
      <c r="S197">
        <f>_xll.BDP(A197&amp;" AB Equity","CHG_PCT_MOV_AVG_200D")</f>
        <v>-16.014810000000001</v>
      </c>
      <c r="T197">
        <f>_xll.BDP(A197&amp;" AB Equity","HIGH_30D")</f>
        <v>19.93</v>
      </c>
      <c r="U197">
        <f>_xll.BDP(A197&amp;" AB Equity","LOW_30D")</f>
        <v>17.3</v>
      </c>
      <c r="V197" s="11" t="str" cm="1">
        <f t="array" aca="1" ref="V197" ca="1">_xll.BDH(A197&amp;" AB Equity","MOV_AVG_200D",TODAY()-32,TODAY()-32,"Days=T")</f>
        <v>#N/A N/A</v>
      </c>
      <c r="W197">
        <v>79.876999999999995</v>
      </c>
      <c r="X197">
        <f>IF(B197="","",_xlfn.SINGLE(_xll.BDP(A197&amp;" AB Equity","MOV_AVG_200D")))</f>
        <v>21.43235</v>
      </c>
    </row>
    <row r="198" spans="1:24" x14ac:dyDescent="0.25">
      <c r="A198" t="s">
        <v>205</v>
      </c>
      <c r="B198">
        <f>_xll.BDP(A198&amp;" AB Equity","LAST_PRICE")</f>
        <v>5.2</v>
      </c>
      <c r="C198">
        <f>_xll.BDP(A198&amp;" AB Equity","LAST_PRICE")</f>
        <v>5.2</v>
      </c>
      <c r="D198">
        <f>_xll.BDP(A198&amp;" AB Equity","RT_PX_CHG_PCT_1D")</f>
        <v>0.580299973487854</v>
      </c>
      <c r="E198">
        <f>_xll.BDP(A198&amp;" AB Equity","CHG_PCT_1M_RT")</f>
        <v>-10.9589</v>
      </c>
      <c r="F198">
        <f>_xll.BDP(A198&amp;" AB Equity","CHG_PCT_YTD_RT")</f>
        <v>9.9366000000000003</v>
      </c>
      <c r="G198">
        <f>_xll.BDP(A198&amp;" AB Equity","YEST_LAST_TRADE")</f>
        <v>5.17</v>
      </c>
      <c r="H198">
        <f>_xll.BDP(A198&amp;" AB Equity","HIGH_52WEEK")</f>
        <v>6.41</v>
      </c>
      <c r="I198">
        <f>_xll.BDP(A198&amp;" AB Equity","LOW_52WEEK")</f>
        <v>4.4800000000000004</v>
      </c>
      <c r="J198">
        <f>_xll.BDP(A198&amp;" AB Equity","VOLUME")</f>
        <v>3256506</v>
      </c>
      <c r="K198">
        <f>_xll.BDP(A198&amp;" AB Equity","OPEN")</f>
        <v>5.18</v>
      </c>
      <c r="L198">
        <f>_xll.BDP(A198&amp;" AB Equity","LOW")</f>
        <v>5.14</v>
      </c>
      <c r="M198">
        <f>_xll.BDP(A198&amp;" AB Equity","HIGH")</f>
        <v>5.26</v>
      </c>
      <c r="N198">
        <f>_xll.BDP(A198&amp;" AB Equity","VWAP")</f>
        <v>5.2140000000000004</v>
      </c>
      <c r="O198" t="str">
        <f>_xll.BDP(A198&amp;" AB Equity","SAUDI_ARABIA_EXCHANGE_ID")</f>
        <v>2350</v>
      </c>
      <c r="P198">
        <f>_xll.BDP(A198&amp;" AB Equity","VOLUME_AVG_30D")</f>
        <v>6326724</v>
      </c>
      <c r="Q198">
        <f>_xll.BDP(A198&amp;" AB Equity","BID")</f>
        <v>5.2</v>
      </c>
      <c r="R198">
        <f>_xll.BDP(A198&amp;" AB Equity","ASK")</f>
        <v>5.21</v>
      </c>
      <c r="S198">
        <f>_xll.BDP(A198&amp;" AB Equity","CHG_PCT_MOV_AVG_200D")</f>
        <v>-1.755973</v>
      </c>
      <c r="T198">
        <f>_xll.BDP(A198&amp;" AB Equity","HIGH_30D")</f>
        <v>6.12</v>
      </c>
      <c r="U198">
        <f>_xll.BDP(A198&amp;" AB Equity","LOW_30D")</f>
        <v>5.15</v>
      </c>
      <c r="V198" s="11" t="str" cm="1">
        <f t="array" aca="1" ref="V198" ca="1">_xll.BDH(A198&amp;" AB Equity","MOV_AVG_200D",TODAY()-32,TODAY()-32,"Days=T")</f>
        <v>#N/A N/A</v>
      </c>
      <c r="W198">
        <v>80.025300000000001</v>
      </c>
      <c r="X198">
        <f>IF(B198="","",_xlfn.SINGLE(_xll.BDP(A198&amp;" AB Equity","MOV_AVG_200D")))</f>
        <v>5.3132999999999999</v>
      </c>
    </row>
    <row r="199" spans="1:24" x14ac:dyDescent="0.25">
      <c r="A199" t="s">
        <v>206</v>
      </c>
      <c r="B199">
        <f>_xll.BDP(A199&amp;" AB Equity","LAST_PRICE")</f>
        <v>14.85</v>
      </c>
      <c r="C199">
        <f>_xll.BDP(A199&amp;" AB Equity","LAST_PRICE")</f>
        <v>14.85</v>
      </c>
      <c r="D199">
        <f>_xll.BDP(A199&amp;" AB Equity","RT_PX_CHG_PCT_1D")</f>
        <v>4.3569998741149902</v>
      </c>
      <c r="E199">
        <f>_xll.BDP(A199&amp;" AB Equity","CHG_PCT_1M_RT")</f>
        <v>4.5774999999999997</v>
      </c>
      <c r="F199">
        <f>_xll.BDP(A199&amp;" AB Equity","CHG_PCT_YTD_RT")</f>
        <v>-1.9802</v>
      </c>
      <c r="G199">
        <f>_xll.BDP(A199&amp;" AB Equity","YEST_LAST_TRADE")</f>
        <v>14.23</v>
      </c>
      <c r="H199">
        <f>_xll.BDP(A199&amp;" AB Equity","HIGH_52WEEK")</f>
        <v>23.9</v>
      </c>
      <c r="I199">
        <f>_xll.BDP(A199&amp;" AB Equity","LOW_52WEEK")</f>
        <v>13</v>
      </c>
      <c r="J199">
        <f>_xll.BDP(A199&amp;" AB Equity","VOLUME")</f>
        <v>545002</v>
      </c>
      <c r="K199">
        <f>_xll.BDP(A199&amp;" AB Equity","OPEN")</f>
        <v>14.24</v>
      </c>
      <c r="L199">
        <f>_xll.BDP(A199&amp;" AB Equity","LOW")</f>
        <v>14.24</v>
      </c>
      <c r="M199">
        <f>_xll.BDP(A199&amp;" AB Equity","HIGH")</f>
        <v>14.99</v>
      </c>
      <c r="N199">
        <f>_xll.BDP(A199&amp;" AB Equity","VWAP")</f>
        <v>14.785299999999999</v>
      </c>
      <c r="O199" t="str">
        <f>_xll.BDP(A199&amp;" AB Equity","SAUDI_ARABIA_EXCHANGE_ID")</f>
        <v>2090</v>
      </c>
      <c r="P199">
        <f>_xll.BDP(A199&amp;" AB Equity","VOLUME_AVG_30D")</f>
        <v>86774.399999999994</v>
      </c>
      <c r="Q199">
        <f>_xll.BDP(A199&amp;" AB Equity","BID")</f>
        <v>14.85</v>
      </c>
      <c r="R199">
        <f>_xll.BDP(A199&amp;" AB Equity","ASK")</f>
        <v>14.92</v>
      </c>
      <c r="S199">
        <f>_xll.BDP(A199&amp;" AB Equity","CHG_PCT_MOV_AVG_200D")</f>
        <v>-8.1962729999999997</v>
      </c>
      <c r="T199">
        <f>_xll.BDP(A199&amp;" AB Equity","HIGH_30D")</f>
        <v>14.78</v>
      </c>
      <c r="U199">
        <f>_xll.BDP(A199&amp;" AB Equity","LOW_30D")</f>
        <v>13.78</v>
      </c>
      <c r="V199" s="11" t="str" cm="1">
        <f t="array" aca="1" ref="V199" ca="1">_xll.BDH(A199&amp;" AB Equity","MOV_AVG_200D",TODAY()-32,TODAY()-32,"Days=T")</f>
        <v>#N/A N/A</v>
      </c>
      <c r="W199">
        <v>80.163799999999995</v>
      </c>
      <c r="X199">
        <f>IF(B199="","",_xlfn.SINGLE(_xll.BDP(A199&amp;" AB Equity","MOV_AVG_200D")))</f>
        <v>16.197600000000001</v>
      </c>
    </row>
    <row r="200" spans="1:24" x14ac:dyDescent="0.25">
      <c r="A200" t="s">
        <v>207</v>
      </c>
      <c r="B200">
        <f>_xll.BDP(A200&amp;" AB Equity","LAST_PRICE")</f>
        <v>19.260000000000002</v>
      </c>
      <c r="C200">
        <f>_xll.BDP(A200&amp;" AB Equity","LAST_PRICE")</f>
        <v>19.260000000000002</v>
      </c>
      <c r="D200">
        <f>_xll.BDP(A200&amp;" AB Equity","RT_PX_CHG_PCT_1D")</f>
        <v>-0.36210000514984131</v>
      </c>
      <c r="E200">
        <f>_xll.BDP(A200&amp;" AB Equity","CHG_PCT_1M_RT")</f>
        <v>-3.7</v>
      </c>
      <c r="F200">
        <f>_xll.BDP(A200&amp;" AB Equity","CHG_PCT_YTD_RT")</f>
        <v>-13.670999999999999</v>
      </c>
      <c r="G200">
        <f>_xll.BDP(A200&amp;" AB Equity","YEST_LAST_TRADE")</f>
        <v>19.329999999999998</v>
      </c>
      <c r="H200">
        <f>_xll.BDP(A200&amp;" AB Equity","HIGH_52WEEK")</f>
        <v>29.18</v>
      </c>
      <c r="I200">
        <f>_xll.BDP(A200&amp;" AB Equity","LOW_52WEEK")</f>
        <v>19.23</v>
      </c>
      <c r="J200">
        <f>_xll.BDP(A200&amp;" AB Equity","VOLUME")</f>
        <v>158226</v>
      </c>
      <c r="K200">
        <f>_xll.BDP(A200&amp;" AB Equity","OPEN")</f>
        <v>19.5</v>
      </c>
      <c r="L200">
        <f>_xll.BDP(A200&amp;" AB Equity","LOW")</f>
        <v>19.190000000000001</v>
      </c>
      <c r="M200">
        <f>_xll.BDP(A200&amp;" AB Equity","HIGH")</f>
        <v>19.5</v>
      </c>
      <c r="N200">
        <f>_xll.BDP(A200&amp;" AB Equity","VWAP")</f>
        <v>19.243200000000002</v>
      </c>
      <c r="O200" t="str">
        <f>_xll.BDP(A200&amp;" AB Equity","SAUDI_ARABIA_EXCHANGE_ID")</f>
        <v>3050</v>
      </c>
      <c r="P200">
        <f>_xll.BDP(A200&amp;" AB Equity","VOLUME_AVG_30D")</f>
        <v>89304.93</v>
      </c>
      <c r="Q200">
        <f>_xll.BDP(A200&amp;" AB Equity","BID")</f>
        <v>19.2</v>
      </c>
      <c r="R200">
        <f>_xll.BDP(A200&amp;" AB Equity","ASK")</f>
        <v>19.260000000000002</v>
      </c>
      <c r="S200">
        <f>_xll.BDP(A200&amp;" AB Equity","CHG_PCT_MOV_AVG_200D")</f>
        <v>-15.30031</v>
      </c>
      <c r="T200">
        <f>_xll.BDP(A200&amp;" AB Equity","HIGH_30D")</f>
        <v>21.06</v>
      </c>
      <c r="U200">
        <f>_xll.BDP(A200&amp;" AB Equity","LOW_30D")</f>
        <v>19.32</v>
      </c>
      <c r="V200" s="11" t="str" cm="1">
        <f t="array" aca="1" ref="V200" ca="1">_xll.BDH(A200&amp;" AB Equity","MOV_AVG_200D",TODAY()-32,TODAY()-32,"Days=T")</f>
        <v>#N/A N/A</v>
      </c>
      <c r="W200">
        <v>80.306299999999993</v>
      </c>
      <c r="X200">
        <f>IF(B200="","",_xlfn.SINGLE(_xll.BDP(A200&amp;" AB Equity","MOV_AVG_200D")))</f>
        <v>22.71555</v>
      </c>
    </row>
    <row r="201" spans="1:24" x14ac:dyDescent="0.25">
      <c r="A201" t="s">
        <v>208</v>
      </c>
      <c r="B201">
        <f>_xll.BDP(A201&amp;" AB Equity","LAST_PRICE")</f>
        <v>24.24</v>
      </c>
      <c r="C201">
        <f>_xll.BDP(A201&amp;" AB Equity","LAST_PRICE")</f>
        <v>24.24</v>
      </c>
      <c r="D201">
        <f>_xll.BDP(A201&amp;" AB Equity","RT_PX_CHG_PCT_1D")</f>
        <v>1.8487000465393066</v>
      </c>
      <c r="E201">
        <f>_xll.BDP(A201&amp;" AB Equity","CHG_PCT_1M_RT")</f>
        <v>-2.1791999999999998</v>
      </c>
      <c r="F201">
        <f>_xll.BDP(A201&amp;" AB Equity","CHG_PCT_YTD_RT")</f>
        <v>-5.2385000000000002</v>
      </c>
      <c r="G201">
        <f>_xll.BDP(A201&amp;" AB Equity","YEST_LAST_TRADE")</f>
        <v>23.8</v>
      </c>
      <c r="H201">
        <f>_xll.BDP(A201&amp;" AB Equity","HIGH_52WEEK")</f>
        <v>29.16</v>
      </c>
      <c r="I201">
        <f>_xll.BDP(A201&amp;" AB Equity","LOW_52WEEK")</f>
        <v>22.8</v>
      </c>
      <c r="J201">
        <f>_xll.BDP(A201&amp;" AB Equity","VOLUME")</f>
        <v>65101</v>
      </c>
      <c r="K201">
        <f>_xll.BDP(A201&amp;" AB Equity","OPEN")</f>
        <v>23.8</v>
      </c>
      <c r="L201">
        <f>_xll.BDP(A201&amp;" AB Equity","LOW")</f>
        <v>23.8</v>
      </c>
      <c r="M201">
        <f>_xll.BDP(A201&amp;" AB Equity","HIGH")</f>
        <v>24.52</v>
      </c>
      <c r="N201">
        <f>_xll.BDP(A201&amp;" AB Equity","VWAP")</f>
        <v>24.270700000000001</v>
      </c>
      <c r="O201" t="str">
        <f>_xll.BDP(A201&amp;" AB Equity","SAUDI_ARABIA_EXCHANGE_ID")</f>
        <v>1210</v>
      </c>
      <c r="P201">
        <f>_xll.BDP(A201&amp;" AB Equity","VOLUME_AVG_30D")</f>
        <v>26697.27</v>
      </c>
      <c r="Q201">
        <f>_xll.BDP(A201&amp;" AB Equity","BID")</f>
        <v>24.22</v>
      </c>
      <c r="R201">
        <f>_xll.BDP(A201&amp;" AB Equity","ASK")</f>
        <v>24.24</v>
      </c>
      <c r="S201">
        <f>_xll.BDP(A201&amp;" AB Equity","CHG_PCT_MOV_AVG_200D")</f>
        <v>-6.407572</v>
      </c>
      <c r="T201">
        <f>_xll.BDP(A201&amp;" AB Equity","HIGH_30D")</f>
        <v>25.64</v>
      </c>
      <c r="U201">
        <f>_xll.BDP(A201&amp;" AB Equity","LOW_30D")</f>
        <v>23.56</v>
      </c>
      <c r="V201" s="11" t="str" cm="1">
        <f t="array" aca="1" ref="V201" ca="1">_xll.BDH(A201&amp;" AB Equity","MOV_AVG_200D",TODAY()-32,TODAY()-32,"Days=T")</f>
        <v>#N/A N/A</v>
      </c>
      <c r="W201">
        <v>80.448999999999998</v>
      </c>
      <c r="X201">
        <f>IF(B201="","",_xlfn.SINGLE(_xll.BDP(A201&amp;" AB Equity","MOV_AVG_200D")))</f>
        <v>25.9209</v>
      </c>
    </row>
    <row r="202" spans="1:24" x14ac:dyDescent="0.25">
      <c r="A202" t="s">
        <v>209</v>
      </c>
      <c r="B202">
        <f>_xll.BDP(A202&amp;" AB Equity","LAST_PRICE")</f>
        <v>18.95</v>
      </c>
      <c r="C202">
        <f>_xll.BDP(A202&amp;" AB Equity","LAST_PRICE")</f>
        <v>18.95</v>
      </c>
      <c r="D202">
        <f>_xll.BDP(A202&amp;" AB Equity","RT_PX_CHG_PCT_1D")</f>
        <v>0.10570000112056732</v>
      </c>
      <c r="E202">
        <f>_xll.BDP(A202&amp;" AB Equity","CHG_PCT_1M_RT")</f>
        <v>11.601900000000001</v>
      </c>
      <c r="F202">
        <f>_xll.BDP(A202&amp;" AB Equity","CHG_PCT_YTD_RT")</f>
        <v>-8.4541000000000004</v>
      </c>
      <c r="G202">
        <f>_xll.BDP(A202&amp;" AB Equity","YEST_LAST_TRADE")</f>
        <v>18.93</v>
      </c>
      <c r="H202">
        <f>_xll.BDP(A202&amp;" AB Equity","HIGH_52WEEK")</f>
        <v>32.42</v>
      </c>
      <c r="I202">
        <f>_xll.BDP(A202&amp;" AB Equity","LOW_52WEEK")</f>
        <v>15.94</v>
      </c>
      <c r="J202">
        <f>_xll.BDP(A202&amp;" AB Equity","VOLUME")</f>
        <v>774303</v>
      </c>
      <c r="K202">
        <f>_xll.BDP(A202&amp;" AB Equity","OPEN")</f>
        <v>20</v>
      </c>
      <c r="L202">
        <f>_xll.BDP(A202&amp;" AB Equity","LOW")</f>
        <v>18.7</v>
      </c>
      <c r="M202">
        <f>_xll.BDP(A202&amp;" AB Equity","HIGH")</f>
        <v>20.239999999999998</v>
      </c>
      <c r="N202">
        <f>_xll.BDP(A202&amp;" AB Equity","VWAP")</f>
        <v>19.701899999999998</v>
      </c>
      <c r="O202" t="str">
        <f>_xll.BDP(A202&amp;" AB Equity","SAUDI_ARABIA_EXCHANGE_ID")</f>
        <v>2360</v>
      </c>
      <c r="P202">
        <f>_xll.BDP(A202&amp;" AB Equity","VOLUME_AVG_30D")</f>
        <v>84279.5</v>
      </c>
      <c r="Q202">
        <f>_xll.BDP(A202&amp;" AB Equity","BID")</f>
        <v>18.95</v>
      </c>
      <c r="R202">
        <f>_xll.BDP(A202&amp;" AB Equity","ASK")</f>
        <v>18.989999999999998</v>
      </c>
      <c r="S202">
        <f>_xll.BDP(A202&amp;" AB Equity","CHG_PCT_MOV_AVG_200D")</f>
        <v>-8.5998009999999994</v>
      </c>
      <c r="T202">
        <f>_xll.BDP(A202&amp;" AB Equity","HIGH_30D")</f>
        <v>18.93</v>
      </c>
      <c r="U202">
        <f>_xll.BDP(A202&amp;" AB Equity","LOW_30D")</f>
        <v>15.94</v>
      </c>
      <c r="V202" s="11" t="str" cm="1">
        <f t="array" aca="1" ref="V202" ca="1">_xll.BDH(A202&amp;" AB Equity","MOV_AVG_200D",TODAY()-32,TODAY()-32,"Days=T")</f>
        <v>#N/A N/A</v>
      </c>
      <c r="W202">
        <v>24.398599999999998</v>
      </c>
      <c r="X202">
        <f>IF(B202="","",_xlfn.SINGLE(_xll.BDP(A202&amp;" AB Equity","MOV_AVG_200D")))</f>
        <v>21.38945</v>
      </c>
    </row>
    <row r="203" spans="1:24" x14ac:dyDescent="0.25">
      <c r="A203" t="s">
        <v>210</v>
      </c>
      <c r="B203">
        <f>_xll.BDP(A203&amp;" AB Equity","LAST_PRICE")</f>
        <v>1.61</v>
      </c>
      <c r="C203">
        <f>_xll.BDP(A203&amp;" AB Equity","LAST_PRICE")</f>
        <v>1.61</v>
      </c>
      <c r="D203">
        <f>_xll.BDP(A203&amp;" AB Equity","RT_PX_CHG_PCT_1D")</f>
        <v>0.625</v>
      </c>
      <c r="E203">
        <f>_xll.BDP(A203&amp;" AB Equity","CHG_PCT_1M_RT")</f>
        <v>-8.5227000000000004</v>
      </c>
      <c r="F203">
        <f>_xll.BDP(A203&amp;" AB Equity","CHG_PCT_YTD_RT")</f>
        <v>-12.0219</v>
      </c>
      <c r="G203">
        <f>_xll.BDP(A203&amp;" AB Equity","YEST_LAST_TRADE")</f>
        <v>1.6</v>
      </c>
      <c r="H203">
        <f>_xll.BDP(A203&amp;" AB Equity","HIGH_52WEEK")</f>
        <v>2.29</v>
      </c>
      <c r="I203">
        <f>_xll.BDP(A203&amp;" AB Equity","LOW_52WEEK")</f>
        <v>1.59</v>
      </c>
      <c r="J203">
        <f>_xll.BDP(A203&amp;" AB Equity","VOLUME")</f>
        <v>9843829</v>
      </c>
      <c r="K203">
        <f>_xll.BDP(A203&amp;" AB Equity","OPEN")</f>
        <v>1.61</v>
      </c>
      <c r="L203">
        <f>_xll.BDP(A203&amp;" AB Equity","LOW")</f>
        <v>1.6</v>
      </c>
      <c r="M203">
        <f>_xll.BDP(A203&amp;" AB Equity","HIGH")</f>
        <v>1.66</v>
      </c>
      <c r="N203">
        <f>_xll.BDP(A203&amp;" AB Equity","VWAP")</f>
        <v>1.6282000000000001</v>
      </c>
      <c r="O203" t="str">
        <f>_xll.BDP(A203&amp;" AB Equity","SAUDI_ARABIA_EXCHANGE_ID")</f>
        <v>3008</v>
      </c>
      <c r="P203">
        <f>_xll.BDP(A203&amp;" AB Equity","VOLUME_AVG_30D")</f>
        <v>2317280</v>
      </c>
      <c r="Q203">
        <f>_xll.BDP(A203&amp;" AB Equity","BID")</f>
        <v>1.61</v>
      </c>
      <c r="R203">
        <f>_xll.BDP(A203&amp;" AB Equity","ASK")</f>
        <v>1.62</v>
      </c>
      <c r="S203">
        <f>_xll.BDP(A203&amp;" AB Equity","CHG_PCT_MOV_AVG_200D")</f>
        <v>-17.210560000000001</v>
      </c>
      <c r="T203">
        <f>_xll.BDP(A203&amp;" AB Equity","HIGH_30D")</f>
        <v>1.87</v>
      </c>
      <c r="U203">
        <f>_xll.BDP(A203&amp;" AB Equity","LOW_30D")</f>
        <v>1.59</v>
      </c>
      <c r="V203" s="11" t="str" cm="1">
        <f t="array" aca="1" ref="V203" ca="1">_xll.BDH(A203&amp;" AB Equity","MOV_AVG_200D",TODAY()-32,TODAY()-32,"Days=T")</f>
        <v>#N/A N/A</v>
      </c>
      <c r="W203">
        <v>24.357299999999999</v>
      </c>
      <c r="X203">
        <f>IF(B203="","",_xlfn.SINGLE(_xll.BDP(A203&amp;" AB Equity","MOV_AVG_200D")))</f>
        <v>1.96885</v>
      </c>
    </row>
    <row r="204" spans="1:24" x14ac:dyDescent="0.25">
      <c r="A204" t="s">
        <v>211</v>
      </c>
      <c r="B204">
        <f>_xll.BDP(A204&amp;" AB Equity","LAST_PRICE")</f>
        <v>22.93</v>
      </c>
      <c r="C204">
        <f>_xll.BDP(A204&amp;" AB Equity","LAST_PRICE")</f>
        <v>22.93</v>
      </c>
      <c r="D204">
        <f>_xll.BDP(A204&amp;" AB Equity","RT_PX_CHG_PCT_1D")</f>
        <v>4.3600000441074371E-2</v>
      </c>
      <c r="E204">
        <f>_xll.BDP(A204&amp;" AB Equity","CHG_PCT_1M_RT")</f>
        <v>1.2808999999999999</v>
      </c>
      <c r="F204">
        <f>_xll.BDP(A204&amp;" AB Equity","CHG_PCT_YTD_RT")</f>
        <v>-3.1671999999999998</v>
      </c>
      <c r="G204">
        <f>_xll.BDP(A204&amp;" AB Equity","YEST_LAST_TRADE")</f>
        <v>22.92</v>
      </c>
      <c r="H204">
        <f>_xll.BDP(A204&amp;" AB Equity","HIGH_52WEEK")</f>
        <v>32.9</v>
      </c>
      <c r="I204">
        <f>_xll.BDP(A204&amp;" AB Equity","LOW_52WEEK")</f>
        <v>22.01</v>
      </c>
      <c r="J204">
        <f>_xll.BDP(A204&amp;" AB Equity","VOLUME")</f>
        <v>80876</v>
      </c>
      <c r="K204">
        <f>_xll.BDP(A204&amp;" AB Equity","OPEN")</f>
        <v>22.92</v>
      </c>
      <c r="L204">
        <f>_xll.BDP(A204&amp;" AB Equity","LOW")</f>
        <v>22.81</v>
      </c>
      <c r="M204">
        <f>_xll.BDP(A204&amp;" AB Equity","HIGH")</f>
        <v>22.95</v>
      </c>
      <c r="N204">
        <f>_xll.BDP(A204&amp;" AB Equity","VWAP")</f>
        <v>22.874600000000001</v>
      </c>
      <c r="O204" t="str">
        <f>_xll.BDP(A204&amp;" AB Equity","SAUDI_ARABIA_EXCHANGE_ID")</f>
        <v>3092</v>
      </c>
      <c r="P204">
        <f>_xll.BDP(A204&amp;" AB Equity","VOLUME_AVG_30D")</f>
        <v>187688.9</v>
      </c>
      <c r="Q204">
        <f>_xll.BDP(A204&amp;" AB Equity","BID")</f>
        <v>22.93</v>
      </c>
      <c r="R204">
        <f>_xll.BDP(A204&amp;" AB Equity","ASK")</f>
        <v>22.95</v>
      </c>
      <c r="S204">
        <f>_xll.BDP(A204&amp;" AB Equity","CHG_PCT_MOV_AVG_200D")</f>
        <v>-6.6706649999999996</v>
      </c>
      <c r="T204">
        <f>_xll.BDP(A204&amp;" AB Equity","HIGH_30D")</f>
        <v>23.56</v>
      </c>
      <c r="U204">
        <f>_xll.BDP(A204&amp;" AB Equity","LOW_30D")</f>
        <v>22.01</v>
      </c>
      <c r="V204" s="11" t="str" cm="1">
        <f t="array" aca="1" ref="V204" ca="1">_xll.BDH(A204&amp;" AB Equity","MOV_AVG_200D",TODAY()-32,TODAY()-32,"Days=T")</f>
        <v>#N/A N/A</v>
      </c>
      <c r="W204">
        <v>24.306999999999999</v>
      </c>
      <c r="X204">
        <f>IF(B204="","",_xlfn.SINGLE(_xll.BDP(A204&amp;" AB Equity","MOV_AVG_200D")))</f>
        <v>24.526050000000001</v>
      </c>
    </row>
    <row r="205" spans="1:24" x14ac:dyDescent="0.25">
      <c r="A205" t="s">
        <v>212</v>
      </c>
      <c r="B205">
        <f>_xll.BDP(A205&amp;" AB Equity","LAST_PRICE")</f>
        <v>29.42</v>
      </c>
      <c r="C205">
        <f>_xll.BDP(A205&amp;" AB Equity","LAST_PRICE")</f>
        <v>29.42</v>
      </c>
      <c r="D205">
        <f>_xll.BDP(A205&amp;" AB Equity","RT_PX_CHG_PCT_1D")</f>
        <v>-0.60809999704360962</v>
      </c>
      <c r="E205">
        <f>_xll.BDP(A205&amp;" AB Equity","CHG_PCT_1M_RT")</f>
        <v>-12.803800000000001</v>
      </c>
      <c r="F205">
        <f>_xll.BDP(A205&amp;" AB Equity","CHG_PCT_YTD_RT")</f>
        <v>7.0597000000000003</v>
      </c>
      <c r="G205">
        <f>_xll.BDP(A205&amp;" AB Equity","YEST_LAST_TRADE")</f>
        <v>29.6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462510</v>
      </c>
      <c r="K205">
        <f>_xll.BDP(A205&amp;" AB Equity","OPEN")</f>
        <v>29.72</v>
      </c>
      <c r="L205">
        <f>_xll.BDP(A205&amp;" AB Equity","LOW")</f>
        <v>29.3</v>
      </c>
      <c r="M205">
        <f>_xll.BDP(A205&amp;" AB Equity","HIGH")</f>
        <v>29.72</v>
      </c>
      <c r="N205">
        <f>_xll.BDP(A205&amp;" AB Equity","VWAP")</f>
        <v>29.48</v>
      </c>
      <c r="O205" t="str">
        <f>_xll.BDP(A205&amp;" AB Equity","SAUDI_ARABIA_EXCHANGE_ID")</f>
        <v>2290</v>
      </c>
      <c r="P205">
        <f>_xll.BDP(A205&amp;" AB Equity","VOLUME_AVG_30D")</f>
        <v>892204.9</v>
      </c>
      <c r="Q205">
        <f>_xll.BDP(A205&amp;" AB Equity","BID")</f>
        <v>29.42</v>
      </c>
      <c r="R205">
        <f>_xll.BDP(A205&amp;" AB Equity","ASK")</f>
        <v>29.5</v>
      </c>
      <c r="S205">
        <f>_xll.BDP(A205&amp;" AB Equity","CHG_PCT_MOV_AVG_200D")</f>
        <v>-5.8700510000000001</v>
      </c>
      <c r="T205">
        <f>_xll.BDP(A205&amp;" AB Equity","HIGH_30D")</f>
        <v>35.6</v>
      </c>
      <c r="U205">
        <f>_xll.BDP(A205&amp;" AB Equity","LOW_30D")</f>
        <v>29.2</v>
      </c>
      <c r="V205" s="11" t="str" cm="1">
        <f t="array" aca="1" ref="V205" ca="1">_xll.BDH(A205&amp;" AB Equity","MOV_AVG_200D",TODAY()-32,TODAY()-32,"Days=T")</f>
        <v>#N/A N/A</v>
      </c>
      <c r="W205">
        <v>24.252099999999999</v>
      </c>
      <c r="X205">
        <f>IF(B205="","",_xlfn.SINGLE(_xll.BDP(A205&amp;" AB Equity","MOV_AVG_200D")))</f>
        <v>31.360900000000001</v>
      </c>
    </row>
    <row r="206" spans="1:24" x14ac:dyDescent="0.25">
      <c r="A206" t="s">
        <v>213</v>
      </c>
      <c r="B206">
        <f>_xll.BDP(A206&amp;" AB Equity","LAST_PRICE")</f>
        <v>13.88</v>
      </c>
      <c r="C206">
        <f>_xll.BDP(A206&amp;" AB Equity","LAST_PRICE")</f>
        <v>13.88</v>
      </c>
      <c r="D206">
        <f>_xll.BDP(A206&amp;" AB Equity","RT_PX_CHG_PCT_1D")</f>
        <v>0.21660000085830688</v>
      </c>
      <c r="E206">
        <f>_xll.BDP(A206&amp;" AB Equity","CHG_PCT_1M_RT")</f>
        <v>2.3599000000000001</v>
      </c>
      <c r="F206">
        <f>_xll.BDP(A206&amp;" AB Equity","CHG_PCT_YTD_RT")</f>
        <v>11.3965</v>
      </c>
      <c r="G206">
        <f>_xll.BDP(A206&amp;" AB Equity","YEST_LAST_TRADE")</f>
        <v>13.85</v>
      </c>
      <c r="H206">
        <f>_xll.BDP(A206&amp;" AB Equity","HIGH_52WEEK")</f>
        <v>17.21</v>
      </c>
      <c r="I206">
        <f>_xll.BDP(A206&amp;" AB Equity","LOW_52WEEK")</f>
        <v>11.08</v>
      </c>
      <c r="J206">
        <f>_xll.BDP(A206&amp;" AB Equity","VOLUME")</f>
        <v>17160</v>
      </c>
      <c r="K206">
        <f>_xll.BDP(A206&amp;" AB Equity","OPEN")</f>
        <v>13.85</v>
      </c>
      <c r="L206">
        <f>_xll.BDP(A206&amp;" AB Equity","LOW")</f>
        <v>13.76</v>
      </c>
      <c r="M206">
        <f>_xll.BDP(A206&amp;" AB Equity","HIGH")</f>
        <v>13.89</v>
      </c>
      <c r="N206">
        <f>_xll.BDP(A206&amp;" AB Equity","VWAP")</f>
        <v>13.7995</v>
      </c>
      <c r="O206" t="str">
        <f>_xll.BDP(A206&amp;" AB Equity","SAUDI_ARABIA_EXCHANGE_ID")</f>
        <v>3005</v>
      </c>
      <c r="P206">
        <f>_xll.BDP(A206&amp;" AB Equity","VOLUME_AVG_30D")</f>
        <v>64827.199999999997</v>
      </c>
      <c r="Q206">
        <f>_xll.BDP(A206&amp;" AB Equity","BID")</f>
        <v>13.78</v>
      </c>
      <c r="R206">
        <f>_xll.BDP(A206&amp;" AB Equity","ASK")</f>
        <v>13.88</v>
      </c>
      <c r="S206">
        <f>_xll.BDP(A206&amp;" AB Equity","CHG_PCT_MOV_AVG_200D")</f>
        <v>4.6605309999999998</v>
      </c>
      <c r="T206">
        <f>_xll.BDP(A206&amp;" AB Equity","HIGH_30D")</f>
        <v>14.2</v>
      </c>
      <c r="U206">
        <f>_xll.BDP(A206&amp;" AB Equity","LOW_30D")</f>
        <v>13.46</v>
      </c>
      <c r="V206" s="11" t="str" cm="1">
        <f t="array" aca="1" ref="V206" ca="1">_xll.BDH(A206&amp;" AB Equity","MOV_AVG_200D",TODAY()-32,TODAY()-32,"Days=T")</f>
        <v>#N/A N/A</v>
      </c>
      <c r="W206">
        <v>24.194900000000001</v>
      </c>
      <c r="X206">
        <f>IF(B206="","",_xlfn.SINGLE(_xll.BDP(A206&amp;" AB Equity","MOV_AVG_200D")))</f>
        <v>13.21415</v>
      </c>
    </row>
    <row r="207" spans="1:24" x14ac:dyDescent="0.25">
      <c r="A207" t="s">
        <v>214</v>
      </c>
      <c r="B207">
        <f>_xll.BDP(A207&amp;" AB Equity","LAST_PRICE")</f>
        <v>2.71</v>
      </c>
      <c r="C207">
        <f>_xll.BDP(A207&amp;" AB Equity","LAST_PRICE")</f>
        <v>2.71</v>
      </c>
      <c r="D207">
        <f>_xll.BDP(A207&amp;" AB Equity","RT_PX_CHG_PCT_1D")</f>
        <v>3.0418000221252441</v>
      </c>
      <c r="E207">
        <f>_xll.BDP(A207&amp;" AB Equity","CHG_PCT_1M_RT")</f>
        <v>7.1146000000000003</v>
      </c>
      <c r="F207">
        <f>_xll.BDP(A207&amp;" AB Equity","CHG_PCT_YTD_RT")</f>
        <v>25.463000000000001</v>
      </c>
      <c r="G207">
        <f>_xll.BDP(A207&amp;" AB Equity","YEST_LAST_TRADE")</f>
        <v>2.63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2879888</v>
      </c>
      <c r="K207">
        <f>_xll.BDP(A207&amp;" AB Equity","OPEN")</f>
        <v>2.65</v>
      </c>
      <c r="L207">
        <f>_xll.BDP(A207&amp;" AB Equity","LOW")</f>
        <v>2.63</v>
      </c>
      <c r="M207">
        <f>_xll.BDP(A207&amp;" AB Equity","HIGH")</f>
        <v>2.72</v>
      </c>
      <c r="N207">
        <f>_xll.BDP(A207&amp;" AB Equity","VWAP")</f>
        <v>2.6869999999999998</v>
      </c>
      <c r="O207" t="str">
        <f>_xll.BDP(A207&amp;" AB Equity","SAUDI_ARABIA_EXCHANGE_ID")</f>
        <v>3007</v>
      </c>
      <c r="P207">
        <f>_xll.BDP(A207&amp;" AB Equity","VOLUME_AVG_30D")</f>
        <v>759169</v>
      </c>
      <c r="Q207">
        <f>_xll.BDP(A207&amp;" AB Equity","BID")</f>
        <v>2.71</v>
      </c>
      <c r="R207">
        <f>_xll.BDP(A207&amp;" AB Equity","ASK")</f>
        <v>2.72</v>
      </c>
      <c r="S207">
        <f>_xll.BDP(A207&amp;" AB Equity","CHG_PCT_MOV_AVG_200D")</f>
        <v>9.3560099999999995</v>
      </c>
      <c r="T207">
        <f>_xll.BDP(A207&amp;" AB Equity","HIGH_30D")</f>
        <v>2.67</v>
      </c>
      <c r="U207">
        <f>_xll.BDP(A207&amp;" AB Equity","LOW_30D")</f>
        <v>2.46</v>
      </c>
      <c r="V207" s="11" t="str" cm="1">
        <f t="array" aca="1" ref="V207" ca="1">_xll.BDH(A207&amp;" AB Equity","MOV_AVG_200D",TODAY()-32,TODAY()-32,"Days=T")</f>
        <v>#N/A N/A</v>
      </c>
      <c r="W207">
        <v>24.136500000000002</v>
      </c>
      <c r="X207">
        <f>IF(B207="","",_xlfn.SINGLE(_xll.BDP(A207&amp;" AB Equity","MOV_AVG_200D")))</f>
        <v>2.4689999999999999</v>
      </c>
    </row>
    <row r="208" spans="1:24" x14ac:dyDescent="0.25">
      <c r="A208" t="s">
        <v>215</v>
      </c>
      <c r="B208">
        <f>_xll.BDP(A208&amp;" AB Equity","LAST_PRICE")</f>
        <v>33.159999999999997</v>
      </c>
      <c r="C208">
        <f>_xll.BDP(A208&amp;" AB Equity","LAST_PRICE")</f>
        <v>33.159999999999997</v>
      </c>
      <c r="D208">
        <f>_xll.BDP(A208&amp;" AB Equity","RT_PX_CHG_PCT_1D")</f>
        <v>1.7178000211715698</v>
      </c>
      <c r="E208">
        <f>_xll.BDP(A208&amp;" AB Equity","CHG_PCT_1M_RT")</f>
        <v>-8.9511000000000003</v>
      </c>
      <c r="F208">
        <f>_xll.BDP(A208&amp;" AB Equity","CHG_PCT_YTD_RT")</f>
        <v>-3.8841000000000001</v>
      </c>
      <c r="G208">
        <f>_xll.BDP(A208&amp;" AB Equity","YEST_LAST_TRADE")</f>
        <v>32.6</v>
      </c>
      <c r="H208">
        <f>_xll.BDP(A208&amp;" AB Equity","HIGH_52WEEK")</f>
        <v>45.62</v>
      </c>
      <c r="I208">
        <f>_xll.BDP(A208&amp;" AB Equity","LOW_52WEEK")</f>
        <v>28</v>
      </c>
      <c r="J208">
        <f>_xll.BDP(A208&amp;" AB Equity","VOLUME")</f>
        <v>61860</v>
      </c>
      <c r="K208">
        <f>_xll.BDP(A208&amp;" AB Equity","OPEN")</f>
        <v>32.619999999999997</v>
      </c>
      <c r="L208">
        <f>_xll.BDP(A208&amp;" AB Equity","LOW")</f>
        <v>32.619999999999997</v>
      </c>
      <c r="M208">
        <f>_xll.BDP(A208&amp;" AB Equity","HIGH")</f>
        <v>33.340000000000003</v>
      </c>
      <c r="N208">
        <f>_xll.BDP(A208&amp;" AB Equity","VWAP")</f>
        <v>33.113999999999997</v>
      </c>
      <c r="O208" t="str">
        <f>_xll.BDP(A208&amp;" AB Equity","SAUDI_ARABIA_EXCHANGE_ID")</f>
        <v>4143</v>
      </c>
      <c r="P208">
        <f>_xll.BDP(A208&amp;" AB Equity","VOLUME_AVG_30D")</f>
        <v>90846.43</v>
      </c>
      <c r="Q208">
        <f>_xll.BDP(A208&amp;" AB Equity","BID")</f>
        <v>33.159999999999997</v>
      </c>
      <c r="R208">
        <f>_xll.BDP(A208&amp;" AB Equity","ASK")</f>
        <v>33.18</v>
      </c>
      <c r="S208">
        <f>_xll.BDP(A208&amp;" AB Equity","CHG_PCT_MOV_AVG_200D")</f>
        <v>-8.048902</v>
      </c>
      <c r="T208">
        <f>_xll.BDP(A208&amp;" AB Equity","HIGH_30D")</f>
        <v>38.08</v>
      </c>
      <c r="U208">
        <f>_xll.BDP(A208&amp;" AB Equity","LOW_30D")</f>
        <v>32.4</v>
      </c>
      <c r="V208" s="11" t="str" cm="1">
        <f t="array" aca="1" ref="V208" ca="1">_xll.BDH(A208&amp;" AB Equity","MOV_AVG_200D",TODAY()-32,TODAY()-32,"Days=T")</f>
        <v>#N/A N/A</v>
      </c>
      <c r="W208">
        <v>13.811500000000001</v>
      </c>
      <c r="X208">
        <f>IF(B208="","",_xlfn.SINGLE(_xll.BDP(A208&amp;" AB Equity","MOV_AVG_200D")))</f>
        <v>36.127899999999997</v>
      </c>
    </row>
    <row r="209" spans="1:24" x14ac:dyDescent="0.25">
      <c r="A209" t="s">
        <v>216</v>
      </c>
      <c r="B209">
        <f>_xll.BDP(A209&amp;" AB Equity","LAST_PRICE")</f>
        <v>15.69</v>
      </c>
      <c r="C209">
        <f>_xll.BDP(A209&amp;" AB Equity","LAST_PRICE")</f>
        <v>15.69</v>
      </c>
      <c r="D209">
        <f>_xll.BDP(A209&amp;" AB Equity","RT_PX_CHG_PCT_1D")</f>
        <v>1.2258000373840332</v>
      </c>
      <c r="E209">
        <f>_xll.BDP(A209&amp;" AB Equity","CHG_PCT_1M_RT")</f>
        <v>-6.4401000000000002</v>
      </c>
      <c r="F209">
        <f>_xll.BDP(A209&amp;" AB Equity","CHG_PCT_YTD_RT")</f>
        <v>8.7317999999999998</v>
      </c>
      <c r="G209">
        <f>_xll.BDP(A209&amp;" AB Equity","YEST_LAST_TRADE")</f>
        <v>15.5</v>
      </c>
      <c r="H209">
        <f>_xll.BDP(A209&amp;" AB Equity","HIGH_52WEEK")</f>
        <v>20.5</v>
      </c>
      <c r="I209">
        <f>_xll.BDP(A209&amp;" AB Equity","LOW_52WEEK")</f>
        <v>13.87</v>
      </c>
      <c r="J209">
        <f>_xll.BDP(A209&amp;" AB Equity","VOLUME")</f>
        <v>545142</v>
      </c>
      <c r="K209">
        <f>_xll.BDP(A209&amp;" AB Equity","OPEN")</f>
        <v>15.51</v>
      </c>
      <c r="L209">
        <f>_xll.BDP(A209&amp;" AB Equity","LOW")</f>
        <v>15.51</v>
      </c>
      <c r="M209">
        <f>_xll.BDP(A209&amp;" AB Equity","HIGH")</f>
        <v>15.72</v>
      </c>
      <c r="N209">
        <f>_xll.BDP(A209&amp;" AB Equity","VWAP")</f>
        <v>15.662699999999999</v>
      </c>
      <c r="O209" t="str">
        <f>_xll.BDP(A209&amp;" AB Equity","SAUDI_ARABIA_EXCHANGE_ID")</f>
        <v>3060</v>
      </c>
      <c r="P209">
        <f>_xll.BDP(A209&amp;" AB Equity","VOLUME_AVG_30D")</f>
        <v>583224.30000000005</v>
      </c>
      <c r="Q209">
        <f>_xll.BDP(A209&amp;" AB Equity","BID")</f>
        <v>15.64</v>
      </c>
      <c r="R209">
        <f>_xll.BDP(A209&amp;" AB Equity","ASK")</f>
        <v>15.69</v>
      </c>
      <c r="S209">
        <f>_xll.BDP(A209&amp;" AB Equity","CHG_PCT_MOV_AVG_200D")</f>
        <v>1.3536490000000001</v>
      </c>
      <c r="T209">
        <f>_xll.BDP(A209&amp;" AB Equity","HIGH_30D")</f>
        <v>16.809999999999999</v>
      </c>
      <c r="U209">
        <f>_xll.BDP(A209&amp;" AB Equity","LOW_30D")</f>
        <v>15.14</v>
      </c>
      <c r="V209" s="11" t="str" cm="1">
        <f t="array" aca="1" ref="V209" ca="1">_xll.BDH(A209&amp;" AB Equity","MOV_AVG_200D",TODAY()-32,TODAY()-32,"Days=T")</f>
        <v>#N/A N/A</v>
      </c>
      <c r="W209">
        <v>13.789400000000001</v>
      </c>
      <c r="X209">
        <f>IF(B209="","",_xlfn.SINGLE(_xll.BDP(A209&amp;" AB Equity","MOV_AVG_200D")))</f>
        <v>15.421250000000001</v>
      </c>
    </row>
    <row r="210" spans="1:24" x14ac:dyDescent="0.25">
      <c r="A210" t="s">
        <v>217</v>
      </c>
      <c r="B210">
        <f>_xll.BDP(A210&amp;" AB Equity","LAST_PRICE")</f>
        <v>59.4</v>
      </c>
      <c r="C210">
        <f>_xll.BDP(A210&amp;" AB Equity","LAST_PRICE")</f>
        <v>59.4</v>
      </c>
      <c r="D210">
        <f>_xll.BDP(A210&amp;" AB Equity","RT_PX_CHG_PCT_1D")</f>
        <v>0.93459999561309814</v>
      </c>
      <c r="E210">
        <f>_xll.BDP(A210&amp;" AB Equity","CHG_PCT_1M_RT")</f>
        <v>-5.9382000000000001</v>
      </c>
      <c r="F210">
        <f>_xll.BDP(A210&amp;" AB Equity","CHG_PCT_YTD_RT")</f>
        <v>-2.5430999999999999</v>
      </c>
      <c r="G210">
        <f>_xll.BDP(A210&amp;" AB Equity","YEST_LAST_TRADE")</f>
        <v>58.85</v>
      </c>
      <c r="H210">
        <f>_xll.BDP(A210&amp;" AB Equity","HIGH_52WEEK")</f>
        <v>79.900000000000006</v>
      </c>
      <c r="I210">
        <f>_xll.BDP(A210&amp;" AB Equity","LOW_52WEEK")</f>
        <v>49.78</v>
      </c>
      <c r="J210">
        <f>_xll.BDP(A210&amp;" AB Equity","VOLUME")</f>
        <v>1621653</v>
      </c>
      <c r="K210">
        <f>_xll.BDP(A210&amp;" AB Equity","OPEN")</f>
        <v>59.35</v>
      </c>
      <c r="L210">
        <f>_xll.BDP(A210&amp;" AB Equity","LOW")</f>
        <v>58.55</v>
      </c>
      <c r="M210">
        <f>_xll.BDP(A210&amp;" AB Equity","HIGH")</f>
        <v>59.4</v>
      </c>
      <c r="N210">
        <f>_xll.BDP(A210&amp;" AB Equity","VWAP")</f>
        <v>59.075299999999999</v>
      </c>
      <c r="O210" t="str">
        <f>_xll.BDP(A210&amp;" AB Equity","SAUDI_ARABIA_EXCHANGE_ID")</f>
        <v>1211</v>
      </c>
      <c r="P210">
        <f>_xll.BDP(A210&amp;" AB Equity","VOLUME_AVG_30D")</f>
        <v>2732997</v>
      </c>
      <c r="Q210">
        <f>_xll.BDP(A210&amp;" AB Equity","BID")</f>
        <v>59.1</v>
      </c>
      <c r="R210">
        <f>_xll.BDP(A210&amp;" AB Equity","ASK")</f>
        <v>59.4</v>
      </c>
      <c r="S210">
        <f>_xll.BDP(A210&amp;" AB Equity","CHG_PCT_MOV_AVG_200D")</f>
        <v>-9.0888080000000002</v>
      </c>
      <c r="T210">
        <f>_xll.BDP(A210&amp;" AB Equity","HIGH_30D")</f>
        <v>66.8</v>
      </c>
      <c r="U210">
        <f>_xll.BDP(A210&amp;" AB Equity","LOW_30D")</f>
        <v>58.55</v>
      </c>
      <c r="V210" s="11" t="str" cm="1">
        <f t="array" aca="1" ref="V210" ca="1">_xll.BDH(A210&amp;" AB Equity","MOV_AVG_200D",TODAY()-32,TODAY()-32,"Days=T")</f>
        <v>#N/A N/A</v>
      </c>
      <c r="W210">
        <v>13.766299999999999</v>
      </c>
      <c r="X210">
        <f>IF(B210="","",_xlfn.SINGLE(_xll.BDP(A210&amp;" AB Equity","MOV_AVG_200D")))</f>
        <v>64.953500000000005</v>
      </c>
    </row>
    <row r="211" spans="1:24" x14ac:dyDescent="0.25">
      <c r="A211" t="s">
        <v>218</v>
      </c>
      <c r="B211">
        <f>_xll.BDP(A211&amp;" AB Equity","LAST_PRICE")</f>
        <v>5.83</v>
      </c>
      <c r="C211">
        <f>_xll.BDP(A211&amp;" AB Equity","LAST_PRICE")</f>
        <v>5.83</v>
      </c>
      <c r="D211">
        <f>_xll.BDP(A211&amp;" AB Equity","RT_PX_CHG_PCT_1D")</f>
        <v>0.34419998526573181</v>
      </c>
      <c r="E211">
        <f>_xll.BDP(A211&amp;" AB Equity","CHG_PCT_1M_RT")</f>
        <v>-1.8519000000000001</v>
      </c>
      <c r="F211">
        <f>_xll.BDP(A211&amp;" AB Equity","CHG_PCT_YTD_RT")</f>
        <v>-8.9062000000000001</v>
      </c>
      <c r="G211">
        <f>_xll.BDP(A211&amp;" AB Equity","YEST_LAST_TRADE")</f>
        <v>5.81</v>
      </c>
      <c r="H211">
        <f>_xll.BDP(A211&amp;" AB Equity","HIGH_52WEEK")</f>
        <v>8.4600000000000009</v>
      </c>
      <c r="I211">
        <f>_xll.BDP(A211&amp;" AB Equity","LOW_52WEEK")</f>
        <v>5.64</v>
      </c>
      <c r="J211">
        <f>_xll.BDP(A211&amp;" AB Equity","VOLUME")</f>
        <v>350827</v>
      </c>
      <c r="K211">
        <f>_xll.BDP(A211&amp;" AB Equity","OPEN")</f>
        <v>5.81</v>
      </c>
      <c r="L211">
        <f>_xll.BDP(A211&amp;" AB Equity","LOW")</f>
        <v>5.8</v>
      </c>
      <c r="M211">
        <f>_xll.BDP(A211&amp;" AB Equity","HIGH")</f>
        <v>5.86</v>
      </c>
      <c r="N211">
        <f>_xll.BDP(A211&amp;" AB Equity","VWAP")</f>
        <v>5.8320999999999996</v>
      </c>
      <c r="O211" t="str">
        <f>_xll.BDP(A211&amp;" AB Equity","SAUDI_ARABIA_EXCHANGE_ID")</f>
        <v>3002</v>
      </c>
      <c r="P211">
        <f>_xll.BDP(A211&amp;" AB Equity","VOLUME_AVG_30D")</f>
        <v>434014.3</v>
      </c>
      <c r="Q211">
        <f>_xll.BDP(A211&amp;" AB Equity","BID")</f>
        <v>5.83</v>
      </c>
      <c r="R211">
        <f>_xll.BDP(A211&amp;" AB Equity","ASK")</f>
        <v>5.84</v>
      </c>
      <c r="S211">
        <f>_xll.BDP(A211&amp;" AB Equity","CHG_PCT_MOV_AVG_200D")</f>
        <v>-11.887639999999999</v>
      </c>
      <c r="T211">
        <f>_xll.BDP(A211&amp;" AB Equity","HIGH_30D")</f>
        <v>5.99</v>
      </c>
      <c r="U211">
        <f>_xll.BDP(A211&amp;" AB Equity","LOW_30D")</f>
        <v>5.64</v>
      </c>
      <c r="V211" s="11" t="str" cm="1">
        <f t="array" aca="1" ref="V211" ca="1">_xll.BDH(A211&amp;" AB Equity","MOV_AVG_200D",TODAY()-32,TODAY()-32,"Days=T")</f>
        <v>#N/A N/A</v>
      </c>
      <c r="W211">
        <v>13.742000000000001</v>
      </c>
      <c r="X211">
        <f>IF(B211="","",_xlfn.SINGLE(_xll.BDP(A211&amp;" AB Equity","MOV_AVG_200D")))</f>
        <v>6.6392499999999997</v>
      </c>
    </row>
    <row r="212" spans="1:24" x14ac:dyDescent="0.25">
      <c r="A212" t="s">
        <v>219</v>
      </c>
      <c r="B212">
        <f>_xll.BDP(A212&amp;" AB Equity","LAST_PRICE")</f>
        <v>7.88</v>
      </c>
      <c r="C212">
        <f>_xll.BDP(A212&amp;" AB Equity","LAST_PRICE")</f>
        <v>7.88</v>
      </c>
      <c r="D212">
        <f>_xll.BDP(A212&amp;" AB Equity","RT_PX_CHG_PCT_1D")</f>
        <v>0.51020002365112305</v>
      </c>
      <c r="E212">
        <f>_xll.BDP(A212&amp;" AB Equity","CHG_PCT_1M_RT")</f>
        <v>-1.1292</v>
      </c>
      <c r="F212">
        <f>_xll.BDP(A212&amp;" AB Equity","CHG_PCT_YTD_RT")</f>
        <v>-13.2159</v>
      </c>
      <c r="G212">
        <f>_xll.BDP(A212&amp;" AB Equity","YEST_LAST_TRADE")</f>
        <v>7.84</v>
      </c>
      <c r="H212">
        <f>_xll.BDP(A212&amp;" AB Equity","HIGH_52WEEK")</f>
        <v>11.24</v>
      </c>
      <c r="I212">
        <f>_xll.BDP(A212&amp;" AB Equity","LOW_52WEEK")</f>
        <v>7.7</v>
      </c>
      <c r="J212">
        <f>_xll.BDP(A212&amp;" AB Equity","VOLUME")</f>
        <v>167094</v>
      </c>
      <c r="K212">
        <f>_xll.BDP(A212&amp;" AB Equity","OPEN")</f>
        <v>7.84</v>
      </c>
      <c r="L212">
        <f>_xll.BDP(A212&amp;" AB Equity","LOW")</f>
        <v>7.81</v>
      </c>
      <c r="M212">
        <f>_xll.BDP(A212&amp;" AB Equity","HIGH")</f>
        <v>7.89</v>
      </c>
      <c r="N212">
        <f>_xll.BDP(A212&amp;" AB Equity","VWAP")</f>
        <v>7.8643000000000001</v>
      </c>
      <c r="O212" t="str">
        <f>_xll.BDP(A212&amp;" AB Equity","SAUDI_ARABIA_EXCHANGE_ID")</f>
        <v>3090</v>
      </c>
      <c r="P212">
        <f>_xll.BDP(A212&amp;" AB Equity","VOLUME_AVG_30D")</f>
        <v>136737.60000000001</v>
      </c>
      <c r="Q212">
        <f>_xll.BDP(A212&amp;" AB Equity","BID")</f>
        <v>7.87</v>
      </c>
      <c r="R212">
        <f>_xll.BDP(A212&amp;" AB Equity","ASK")</f>
        <v>7.88</v>
      </c>
      <c r="S212">
        <f>_xll.BDP(A212&amp;" AB Equity","CHG_PCT_MOV_AVG_200D")</f>
        <v>-12.03675</v>
      </c>
      <c r="T212">
        <f>_xll.BDP(A212&amp;" AB Equity","HIGH_30D")</f>
        <v>8.02</v>
      </c>
      <c r="U212">
        <f>_xll.BDP(A212&amp;" AB Equity","LOW_30D")</f>
        <v>7.72</v>
      </c>
      <c r="V212" s="11" t="str" cm="1">
        <f t="array" aca="1" ref="V212" ca="1">_xll.BDH(A212&amp;" AB Equity","MOV_AVG_200D",TODAY()-32,TODAY()-32,"Days=T")</f>
        <v>#N/A N/A</v>
      </c>
      <c r="W212">
        <v>16.021699999999999</v>
      </c>
      <c r="X212">
        <f>IF(B212="","",_xlfn.SINGLE(_xll.BDP(A212&amp;" AB Equity","MOV_AVG_200D")))</f>
        <v>8.9355499999999992</v>
      </c>
    </row>
    <row r="213" spans="1:24" x14ac:dyDescent="0.25">
      <c r="A213" t="s">
        <v>220</v>
      </c>
      <c r="B213">
        <f>_xll.BDP(A213&amp;" AB Equity","LAST_PRICE")</f>
        <v>27.12</v>
      </c>
      <c r="C213">
        <f>_xll.BDP(A213&amp;" AB Equity","LAST_PRICE")</f>
        <v>27.12</v>
      </c>
      <c r="D213">
        <f>_xll.BDP(A213&amp;" AB Equity","RT_PX_CHG_PCT_1D")</f>
        <v>0.66820001602172852</v>
      </c>
      <c r="E213">
        <f>_xll.BDP(A213&amp;" AB Equity","CHG_PCT_1M_RT")</f>
        <v>9.6644000000000005</v>
      </c>
      <c r="F213">
        <f>_xll.BDP(A213&amp;" AB Equity","CHG_PCT_YTD_RT")</f>
        <v>15.847899999999999</v>
      </c>
      <c r="G213">
        <f>_xll.BDP(A213&amp;" AB Equity","YEST_LAST_TRADE")</f>
        <v>26.94</v>
      </c>
      <c r="H213">
        <f>_xll.BDP(A213&amp;" AB Equity","HIGH_52WEEK")</f>
        <v>32.06</v>
      </c>
      <c r="I213">
        <f>_xll.BDP(A213&amp;" AB Equity","LOW_52WEEK")</f>
        <v>21.95</v>
      </c>
      <c r="J213">
        <f>_xll.BDP(A213&amp;" AB Equity","VOLUME")</f>
        <v>107504</v>
      </c>
      <c r="K213">
        <f>_xll.BDP(A213&amp;" AB Equity","OPEN")</f>
        <v>27.44</v>
      </c>
      <c r="L213">
        <f>_xll.BDP(A213&amp;" AB Equity","LOW")</f>
        <v>26.96</v>
      </c>
      <c r="M213">
        <f>_xll.BDP(A213&amp;" AB Equity","HIGH")</f>
        <v>27.44</v>
      </c>
      <c r="N213">
        <f>_xll.BDP(A213&amp;" AB Equity","VWAP")</f>
        <v>27.073499999999999</v>
      </c>
      <c r="O213" t="str">
        <f>_xll.BDP(A213&amp;" AB Equity","SAUDI_ARABIA_EXCHANGE_ID")</f>
        <v>3080</v>
      </c>
      <c r="P213">
        <f>_xll.BDP(A213&amp;" AB Equity","VOLUME_AVG_30D")</f>
        <v>230048.3</v>
      </c>
      <c r="Q213">
        <f>_xll.BDP(A213&amp;" AB Equity","BID")</f>
        <v>27.12</v>
      </c>
      <c r="R213">
        <f>_xll.BDP(A213&amp;" AB Equity","ASK")</f>
        <v>27.18</v>
      </c>
      <c r="S213">
        <f>_xll.BDP(A213&amp;" AB Equity","CHG_PCT_MOV_AVG_200D")</f>
        <v>9.9487380000000005</v>
      </c>
      <c r="T213">
        <f>_xll.BDP(A213&amp;" AB Equity","HIGH_30D")</f>
        <v>27.56</v>
      </c>
      <c r="U213">
        <f>_xll.BDP(A213&amp;" AB Equity","LOW_30D")</f>
        <v>24.14</v>
      </c>
      <c r="V213" s="11" t="str" cm="1">
        <f t="array" aca="1" ref="V213" ca="1">_xll.BDH(A213&amp;" AB Equity","MOV_AVG_200D",TODAY()-32,TODAY()-32,"Days=T")</f>
        <v>#N/A N/A</v>
      </c>
      <c r="W213">
        <v>15.9918</v>
      </c>
      <c r="X213">
        <f>IF(B213="","",_xlfn.SINGLE(_xll.BDP(A213&amp;" AB Equity","MOV_AVG_200D")))</f>
        <v>24.647849999999998</v>
      </c>
    </row>
    <row r="214" spans="1:24" x14ac:dyDescent="0.25">
      <c r="A214" t="s">
        <v>221</v>
      </c>
      <c r="B214">
        <f>_xll.BDP(A214&amp;" AB Equity","LAST_PRICE")</f>
        <v>42</v>
      </c>
      <c r="C214">
        <f>_xll.BDP(A214&amp;" AB Equity","LAST_PRICE")</f>
        <v>42</v>
      </c>
      <c r="D214">
        <f>_xll.BDP(A214&amp;" AB Equity","RT_PX_CHG_PCT_1D")</f>
        <v>-0.8499000072479248</v>
      </c>
      <c r="E214">
        <f>_xll.BDP(A214&amp;" AB Equity","CHG_PCT_1M_RT")</f>
        <v>7.3071000000000002</v>
      </c>
      <c r="F214">
        <f>_xll.BDP(A214&amp;" AB Equity","CHG_PCT_YTD_RT")</f>
        <v>30.922699999999999</v>
      </c>
      <c r="G214">
        <f>_xll.BDP(A214&amp;" AB Equity","YEST_LAST_TRADE")</f>
        <v>42.36</v>
      </c>
      <c r="H214">
        <f>_xll.BDP(A214&amp;" AB Equity","HIGH_52WEEK")</f>
        <v>43.5</v>
      </c>
      <c r="I214">
        <f>_xll.BDP(A214&amp;" AB Equity","LOW_52WEEK")</f>
        <v>29.18</v>
      </c>
      <c r="J214">
        <f>_xll.BDP(A214&amp;" AB Equity","VOLUME")</f>
        <v>404715</v>
      </c>
      <c r="K214">
        <f>_xll.BDP(A214&amp;" AB Equity","OPEN")</f>
        <v>42.3</v>
      </c>
      <c r="L214">
        <f>_xll.BDP(A214&amp;" AB Equity","LOW")</f>
        <v>41.18</v>
      </c>
      <c r="M214">
        <f>_xll.BDP(A214&amp;" AB Equity","HIGH")</f>
        <v>42.84</v>
      </c>
      <c r="N214">
        <f>_xll.BDP(A214&amp;" AB Equity","VWAP")</f>
        <v>41.937600000000003</v>
      </c>
      <c r="O214" t="str">
        <f>_xll.BDP(A214&amp;" AB Equity","SAUDI_ARABIA_EXCHANGE_ID")</f>
        <v>1304</v>
      </c>
      <c r="P214">
        <f>_xll.BDP(A214&amp;" AB Equity","VOLUME_AVG_30D")</f>
        <v>398221</v>
      </c>
      <c r="Q214">
        <f>_xll.BDP(A214&amp;" AB Equity","BID")</f>
        <v>42</v>
      </c>
      <c r="R214">
        <f>_xll.BDP(A214&amp;" AB Equity","ASK")</f>
        <v>42.02</v>
      </c>
      <c r="S214">
        <f>_xll.BDP(A214&amp;" AB Equity","CHG_PCT_MOV_AVG_200D")</f>
        <v>14.22434</v>
      </c>
      <c r="T214">
        <f>_xll.BDP(A214&amp;" AB Equity","HIGH_30D")</f>
        <v>43.24</v>
      </c>
      <c r="U214">
        <f>_xll.BDP(A214&amp;" AB Equity","LOW_30D")</f>
        <v>37.74</v>
      </c>
      <c r="V214" s="11" t="str" cm="1">
        <f t="array" aca="1" ref="V214" ca="1">_xll.BDH(A214&amp;" AB Equity","MOV_AVG_200D",TODAY()-32,TODAY()-32,"Days=T")</f>
        <v>#N/A N/A</v>
      </c>
      <c r="W214">
        <v>15.961499999999999</v>
      </c>
      <c r="X214">
        <f>IF(B214="","",_xlfn.SINGLE(_xll.BDP(A214&amp;" AB Equity","MOV_AVG_200D")))</f>
        <v>36.8748</v>
      </c>
    </row>
    <row r="215" spans="1:24" x14ac:dyDescent="0.25">
      <c r="A215" t="s">
        <v>222</v>
      </c>
      <c r="B215">
        <f>_xll.BDP(A215&amp;" AB Equity","LAST_PRICE")</f>
        <v>56.3</v>
      </c>
      <c r="C215">
        <f>_xll.BDP(A215&amp;" AB Equity","LAST_PRICE")</f>
        <v>56.3</v>
      </c>
      <c r="D215">
        <f>_xll.BDP(A215&amp;" AB Equity","RT_PX_CHG_PCT_1D")</f>
        <v>0.89609998464584351</v>
      </c>
      <c r="E215">
        <f>_xll.BDP(A215&amp;" AB Equity","CHG_PCT_1M_RT")</f>
        <v>-2.931</v>
      </c>
      <c r="F215">
        <f>_xll.BDP(A215&amp;" AB Equity","CHG_PCT_YTD_RT")</f>
        <v>-9.2667000000000002</v>
      </c>
      <c r="G215">
        <f>_xll.BDP(A215&amp;" AB Equity","YEST_LAST_TRADE")</f>
        <v>55.8</v>
      </c>
      <c r="H215">
        <f>_xll.BDP(A215&amp;" AB Equity","HIGH_52WEEK")</f>
        <v>65.849999999999994</v>
      </c>
      <c r="I215">
        <f>_xll.BDP(A215&amp;" AB Equity","LOW_52WEEK")</f>
        <v>47</v>
      </c>
      <c r="J215">
        <f>_xll.BDP(A215&amp;" AB Equity","VOLUME")</f>
        <v>98953</v>
      </c>
      <c r="K215">
        <f>_xll.BDP(A215&amp;" AB Equity","OPEN")</f>
        <v>55.8</v>
      </c>
      <c r="L215">
        <f>_xll.BDP(A215&amp;" AB Equity","LOW")</f>
        <v>55.25</v>
      </c>
      <c r="M215">
        <f>_xll.BDP(A215&amp;" AB Equity","HIGH")</f>
        <v>56.6</v>
      </c>
      <c r="N215">
        <f>_xll.BDP(A215&amp;" AB Equity","VWAP")</f>
        <v>55.738399999999999</v>
      </c>
      <c r="O215" t="str">
        <f>_xll.BDP(A215&amp;" AB Equity","SAUDI_ARABIA_EXCHANGE_ID")</f>
        <v>2300</v>
      </c>
      <c r="P215">
        <f>_xll.BDP(A215&amp;" AB Equity","VOLUME_AVG_30D")</f>
        <v>74016.7</v>
      </c>
      <c r="Q215">
        <f>_xll.BDP(A215&amp;" AB Equity","BID")</f>
        <v>56.05</v>
      </c>
      <c r="R215">
        <f>_xll.BDP(A215&amp;" AB Equity","ASK")</f>
        <v>56.3</v>
      </c>
      <c r="S215">
        <f>_xll.BDP(A215&amp;" AB Equity","CHG_PCT_MOV_AVG_200D")</f>
        <v>-1.7651330000000001</v>
      </c>
      <c r="T215">
        <f>_xll.BDP(A215&amp;" AB Equity","HIGH_30D")</f>
        <v>61</v>
      </c>
      <c r="U215">
        <f>_xll.BDP(A215&amp;" AB Equity","LOW_30D")</f>
        <v>54.4</v>
      </c>
      <c r="V215" s="11" t="str" cm="1">
        <f t="array" aca="1" ref="V215" ca="1">_xll.BDH(A215&amp;" AB Equity","MOV_AVG_200D",TODAY()-32,TODAY()-32,"Days=T")</f>
        <v>#N/A N/A</v>
      </c>
      <c r="W215">
        <v>56.490299999999998</v>
      </c>
      <c r="X215">
        <f>IF(B215="","",_xlfn.SINGLE(_xll.BDP(A215&amp;" AB Equity","MOV_AVG_200D")))</f>
        <v>56.599049999999998</v>
      </c>
    </row>
    <row r="216" spans="1:24" x14ac:dyDescent="0.25">
      <c r="A216" t="s">
        <v>223</v>
      </c>
      <c r="B216">
        <f>_xll.BDP(A216&amp;" AB Equity","LAST_PRICE")</f>
        <v>5.16</v>
      </c>
      <c r="C216">
        <f>_xll.BDP(A216&amp;" AB Equity","LAST_PRICE")</f>
        <v>5.16</v>
      </c>
      <c r="D216">
        <f>_xll.BDP(A216&amp;" AB Equity","RT_PX_CHG_PCT_1D")</f>
        <v>3.2000000476837158</v>
      </c>
      <c r="E216">
        <f>_xll.BDP(A216&amp;" AB Equity","CHG_PCT_1M_RT")</f>
        <v>5.3060999999999998</v>
      </c>
      <c r="F216">
        <f>_xll.BDP(A216&amp;" AB Equity","CHG_PCT_YTD_RT")</f>
        <v>-18.354399999999998</v>
      </c>
      <c r="G216">
        <f>_xll.BDP(A216&amp;" AB Equity","YEST_LAST_TRADE")</f>
        <v>5</v>
      </c>
      <c r="H216">
        <f>_xll.BDP(A216&amp;" AB Equity","HIGH_52WEEK")</f>
        <v>7.77</v>
      </c>
      <c r="I216">
        <f>_xll.BDP(A216&amp;" AB Equity","LOW_52WEEK")</f>
        <v>4.68</v>
      </c>
      <c r="J216">
        <f>_xll.BDP(A216&amp;" AB Equity","VOLUME")</f>
        <v>877863</v>
      </c>
      <c r="K216">
        <f>_xll.BDP(A216&amp;" AB Equity","OPEN")</f>
        <v>5.01</v>
      </c>
      <c r="L216">
        <f>_xll.BDP(A216&amp;" AB Equity","LOW")</f>
        <v>5</v>
      </c>
      <c r="M216">
        <f>_xll.BDP(A216&amp;" AB Equity","HIGH")</f>
        <v>5.16</v>
      </c>
      <c r="N216">
        <f>_xll.BDP(A216&amp;" AB Equity","VWAP")</f>
        <v>5.1018999999999997</v>
      </c>
      <c r="O216" t="str">
        <f>_xll.BDP(A216&amp;" AB Equity","SAUDI_ARABIA_EXCHANGE_ID")</f>
        <v>3091</v>
      </c>
      <c r="P216">
        <f>_xll.BDP(A216&amp;" AB Equity","VOLUME_AVG_30D")</f>
        <v>313747.3</v>
      </c>
      <c r="Q216">
        <f>_xll.BDP(A216&amp;" AB Equity","BID")</f>
        <v>5.14</v>
      </c>
      <c r="R216">
        <f>_xll.BDP(A216&amp;" AB Equity","ASK")</f>
        <v>5.16</v>
      </c>
      <c r="S216">
        <f>_xll.BDP(A216&amp;" AB Equity","CHG_PCT_MOV_AVG_200D")</f>
        <v>-14.58788</v>
      </c>
      <c r="T216">
        <f>_xll.BDP(A216&amp;" AB Equity","HIGH_30D")</f>
        <v>5.3</v>
      </c>
      <c r="U216">
        <f>_xll.BDP(A216&amp;" AB Equity","LOW_30D")</f>
        <v>4.78</v>
      </c>
      <c r="V216" s="11" t="str" cm="1">
        <f t="array" aca="1" ref="V216" ca="1">_xll.BDH(A216&amp;" AB Equity","MOV_AVG_200D",TODAY()-32,TODAY()-32,"Days=T")</f>
        <v>#N/A N/A</v>
      </c>
      <c r="W216">
        <v>56.463799999999999</v>
      </c>
      <c r="X216">
        <f>IF(B216="","",_xlfn.SINGLE(_xll.BDP(A216&amp;" AB Equity","MOV_AVG_200D")))</f>
        <v>5.97105</v>
      </c>
    </row>
    <row r="217" spans="1:24" x14ac:dyDescent="0.25">
      <c r="A217" t="s">
        <v>224</v>
      </c>
      <c r="B217">
        <f>_xll.BDP(A217&amp;" AB Equity","LAST_PRICE")</f>
        <v>220</v>
      </c>
      <c r="C217">
        <f>_xll.BDP(A217&amp;" AB Equity","LAST_PRICE")</f>
        <v>220</v>
      </c>
      <c r="D217">
        <f>_xll.BDP(A217&amp;" AB Equity","RT_PX_CHG_PCT_1D")</f>
        <v>-2.654900074005127</v>
      </c>
      <c r="E217">
        <f>_xll.BDP(A217&amp;" AB Equity","CHG_PCT_1M_RT")</f>
        <v>7.8430999999999997</v>
      </c>
      <c r="F217">
        <f>_xll.BDP(A217&amp;" AB Equity","CHG_PCT_YTD_RT")</f>
        <v>59.0745</v>
      </c>
      <c r="G217">
        <f>_xll.BDP(A217&amp;" AB Equity","YEST_LAST_TRADE")</f>
        <v>226</v>
      </c>
      <c r="H217">
        <f>_xll.BDP(A217&amp;" AB Equity","HIGH_52WEEK")</f>
        <v>230</v>
      </c>
      <c r="I217">
        <f>_xll.BDP(A217&amp;" AB Equity","LOW_52WEEK")</f>
        <v>102.9</v>
      </c>
      <c r="J217">
        <f>_xll.BDP(A217&amp;" AB Equity","VOLUME")</f>
        <v>140500</v>
      </c>
      <c r="K217">
        <f>_xll.BDP(A217&amp;" AB Equity","OPEN")</f>
        <v>227</v>
      </c>
      <c r="L217">
        <f>_xll.BDP(A217&amp;" AB Equity","LOW")</f>
        <v>220</v>
      </c>
      <c r="M217">
        <f>_xll.BDP(A217&amp;" AB Equity","HIGH")</f>
        <v>227</v>
      </c>
      <c r="N217">
        <f>_xll.BDP(A217&amp;" AB Equity","VWAP")</f>
        <v>221.97120000000001</v>
      </c>
      <c r="O217" t="str">
        <f>_xll.BDP(A217&amp;" AB Equity","SAUDI_ARABIA_EXCHANGE_ID")</f>
        <v>1321</v>
      </c>
      <c r="P217">
        <f>_xll.BDP(A217&amp;" AB Equity","VOLUME_AVG_30D")</f>
        <v>286898.5</v>
      </c>
      <c r="Q217">
        <f>_xll.BDP(A217&amp;" AB Equity","BID")</f>
        <v>220</v>
      </c>
      <c r="R217">
        <f>_xll.BDP(A217&amp;" AB Equity","ASK")</f>
        <v>221</v>
      </c>
      <c r="S217">
        <f>_xll.BDP(A217&amp;" AB Equity","CHG_PCT_MOV_AVG_200D")</f>
        <v>44.865839999999999</v>
      </c>
      <c r="T217">
        <f>_xll.BDP(A217&amp;" AB Equity","HIGH_30D")</f>
        <v>230</v>
      </c>
      <c r="U217">
        <f>_xll.BDP(A217&amp;" AB Equity","LOW_30D")</f>
        <v>183</v>
      </c>
      <c r="V217" s="11" t="str" cm="1">
        <f t="array" aca="1" ref="V217" ca="1">_xll.BDH(A217&amp;" AB Equity","MOV_AVG_200D",TODAY()-32,TODAY()-32,"Days=T")</f>
        <v>#N/A N/A</v>
      </c>
      <c r="W217">
        <v>56.423000000000002</v>
      </c>
      <c r="X217">
        <f>IF(B217="","",_xlfn.SINGLE(_xll.BDP(A217&amp;" AB Equity","MOV_AVG_200D")))</f>
        <v>153.8665</v>
      </c>
    </row>
    <row r="218" spans="1:24" x14ac:dyDescent="0.25">
      <c r="A218" t="s">
        <v>225</v>
      </c>
      <c r="B218">
        <f>_xll.BDP(A218&amp;" AB Equity","LAST_PRICE")</f>
        <v>5.1100000000000003</v>
      </c>
      <c r="C218">
        <f>_xll.BDP(A218&amp;" AB Equity","LAST_PRICE")</f>
        <v>5.1100000000000003</v>
      </c>
      <c r="D218">
        <f>_xll.BDP(A218&amp;" AB Equity","RT_PX_CHG_PCT_1D")</f>
        <v>1.9960000514984131</v>
      </c>
      <c r="E218">
        <f>_xll.BDP(A218&amp;" AB Equity","CHG_PCT_1M_RT")</f>
        <v>1.996</v>
      </c>
      <c r="F218">
        <f>_xll.BDP(A218&amp;" AB Equity","CHG_PCT_YTD_RT")</f>
        <v>-16.091999999999999</v>
      </c>
      <c r="G218">
        <f>_xll.BDP(A218&amp;" AB Equity","YEST_LAST_TRADE")</f>
        <v>5.01</v>
      </c>
      <c r="H218">
        <f>_xll.BDP(A218&amp;" AB Equity","HIGH_52WEEK")</f>
        <v>8.67</v>
      </c>
      <c r="I218">
        <f>_xll.BDP(A218&amp;" AB Equity","LOW_52WEEK")</f>
        <v>4.9000000000000004</v>
      </c>
      <c r="J218">
        <f>_xll.BDP(A218&amp;" AB Equity","VOLUME")</f>
        <v>503592</v>
      </c>
      <c r="K218">
        <f>_xll.BDP(A218&amp;" AB Equity","OPEN")</f>
        <v>5.05</v>
      </c>
      <c r="L218">
        <f>_xll.BDP(A218&amp;" AB Equity","LOW")</f>
        <v>5.05</v>
      </c>
      <c r="M218">
        <f>_xll.BDP(A218&amp;" AB Equity","HIGH")</f>
        <v>5.14</v>
      </c>
      <c r="N218">
        <f>_xll.BDP(A218&amp;" AB Equity","VWAP")</f>
        <v>5.0976999999999997</v>
      </c>
      <c r="O218" t="str">
        <f>_xll.BDP(A218&amp;" AB Equity","SAUDI_ARABIA_EXCHANGE_ID")</f>
        <v>1201</v>
      </c>
      <c r="P218">
        <f>_xll.BDP(A218&amp;" AB Equity","VOLUME_AVG_30D")</f>
        <v>350060.7</v>
      </c>
      <c r="Q218">
        <f>_xll.BDP(A218&amp;" AB Equity","BID")</f>
        <v>5.1100000000000003</v>
      </c>
      <c r="R218">
        <f>_xll.BDP(A218&amp;" AB Equity","ASK")</f>
        <v>5.12</v>
      </c>
      <c r="S218">
        <f>_xll.BDP(A218&amp;" AB Equity","CHG_PCT_MOV_AVG_200D")</f>
        <v>-16.945160000000001</v>
      </c>
      <c r="T218">
        <f>_xll.BDP(A218&amp;" AB Equity","HIGH_30D")</f>
        <v>5.46</v>
      </c>
      <c r="U218">
        <f>_xll.BDP(A218&amp;" AB Equity","LOW_30D")</f>
        <v>4.9000000000000004</v>
      </c>
      <c r="V218" s="11" t="str" cm="1">
        <f t="array" aca="1" ref="V218" ca="1">_xll.BDH(A218&amp;" AB Equity","MOV_AVG_200D",TODAY()-32,TODAY()-32,"Days=T")</f>
        <v>#N/A N/A</v>
      </c>
      <c r="W218">
        <v>56.391500000000001</v>
      </c>
      <c r="X218">
        <f>IF(B218="","",_xlfn.SINGLE(_xll.BDP(A218&amp;" AB Equity","MOV_AVG_200D")))</f>
        <v>6.1044</v>
      </c>
    </row>
    <row r="219" spans="1:24" x14ac:dyDescent="0.25">
      <c r="A219" t="s">
        <v>226</v>
      </c>
      <c r="B219">
        <f>_xll.BDP(A219&amp;" AB Equity","LAST_PRICE")</f>
        <v>17.010000000000002</v>
      </c>
      <c r="C219">
        <f>_xll.BDP(A219&amp;" AB Equity","LAST_PRICE")</f>
        <v>17.010000000000002</v>
      </c>
      <c r="D219">
        <f>_xll.BDP(A219&amp;" AB Equity","RT_PX_CHG_PCT_1D")</f>
        <v>4.3558001518249512</v>
      </c>
      <c r="E219">
        <f>_xll.BDP(A219&amp;" AB Equity","CHG_PCT_1M_RT")</f>
        <v>6.0473999999999997</v>
      </c>
      <c r="F219">
        <f>_xll.BDP(A219&amp;" AB Equity","CHG_PCT_YTD_RT")</f>
        <v>-9.0373999999999999</v>
      </c>
      <c r="G219">
        <f>_xll.BDP(A219&amp;" AB Equity","YEST_LAST_TRADE")</f>
        <v>16.3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109129</v>
      </c>
      <c r="K219">
        <f>_xll.BDP(A219&amp;" AB Equity","OPEN")</f>
        <v>16.309999999999999</v>
      </c>
      <c r="L219">
        <f>_xll.BDP(A219&amp;" AB Equity","LOW")</f>
        <v>16.309999999999999</v>
      </c>
      <c r="M219">
        <f>_xll.BDP(A219&amp;" AB Equity","HIGH")</f>
        <v>17.079999999999998</v>
      </c>
      <c r="N219">
        <f>_xll.BDP(A219&amp;" AB Equity","VWAP")</f>
        <v>16.915900000000001</v>
      </c>
      <c r="O219" t="str">
        <f>_xll.BDP(A219&amp;" AB Equity","SAUDI_ARABIA_EXCHANGE_ID")</f>
        <v>1301</v>
      </c>
      <c r="P219">
        <f>_xll.BDP(A219&amp;" AB Equity","VOLUME_AVG_30D")</f>
        <v>61349.5</v>
      </c>
      <c r="Q219">
        <f>_xll.BDP(A219&amp;" AB Equity","BID")</f>
        <v>17.010000000000002</v>
      </c>
      <c r="R219">
        <f>_xll.BDP(A219&amp;" AB Equity","ASK")</f>
        <v>17.04</v>
      </c>
      <c r="S219">
        <f>_xll.BDP(A219&amp;" AB Equity","CHG_PCT_MOV_AVG_200D")</f>
        <v>-14.402939999999999</v>
      </c>
      <c r="T219">
        <f>_xll.BDP(A219&amp;" AB Equity","HIGH_30D")</f>
        <v>17.39</v>
      </c>
      <c r="U219">
        <f>_xll.BDP(A219&amp;" AB Equity","LOW_30D")</f>
        <v>15.72</v>
      </c>
      <c r="V219" s="11" t="str" cm="1">
        <f t="array" aca="1" ref="V219" ca="1">_xll.BDH(A219&amp;" AB Equity","MOV_AVG_200D",TODAY()-32,TODAY()-32,"Days=T")</f>
        <v>#N/A N/A</v>
      </c>
      <c r="W219">
        <v>56.357999999999997</v>
      </c>
      <c r="X219">
        <f>IF(B219="","",_xlfn.SINGLE(_xll.BDP(A219&amp;" AB Equity","MOV_AVG_200D")))</f>
        <v>19.790400000000002</v>
      </c>
    </row>
    <row r="220" spans="1:24" x14ac:dyDescent="0.25">
      <c r="A220" t="s">
        <v>227</v>
      </c>
      <c r="B220">
        <f>_xll.BDP(A220&amp;" AB Equity","LAST_PRICE")</f>
        <v>36.04</v>
      </c>
      <c r="C220">
        <f>_xll.BDP(A220&amp;" AB Equity","LAST_PRICE")</f>
        <v>36.04</v>
      </c>
      <c r="D220">
        <f>_xll.BDP(A220&amp;" AB Equity","RT_PX_CHG_PCT_1D")</f>
        <v>0.95240002870559692</v>
      </c>
      <c r="E220">
        <f>_xll.BDP(A220&amp;" AB Equity","CHG_PCT_1M_RT")</f>
        <v>-3.3780000000000001</v>
      </c>
      <c r="F220">
        <f>_xll.BDP(A220&amp;" AB Equity","CHG_PCT_YTD_RT")</f>
        <v>1.6930000000000001</v>
      </c>
      <c r="G220">
        <f>_xll.BDP(A220&amp;" AB Equity","YEST_LAST_TRADE")</f>
        <v>35.700000000000003</v>
      </c>
      <c r="H220">
        <f>_xll.BDP(A220&amp;" AB Equity","HIGH_52WEEK")</f>
        <v>45.92</v>
      </c>
      <c r="I220">
        <f>_xll.BDP(A220&amp;" AB Equity","LOW_52WEEK")</f>
        <v>34</v>
      </c>
      <c r="J220">
        <f>_xll.BDP(A220&amp;" AB Equity","VOLUME")</f>
        <v>97282</v>
      </c>
      <c r="K220">
        <f>_xll.BDP(A220&amp;" AB Equity","OPEN")</f>
        <v>35.72</v>
      </c>
      <c r="L220">
        <f>_xll.BDP(A220&amp;" AB Equity","LOW")</f>
        <v>35.72</v>
      </c>
      <c r="M220">
        <f>_xll.BDP(A220&amp;" AB Equity","HIGH")</f>
        <v>36.26</v>
      </c>
      <c r="N220">
        <f>_xll.BDP(A220&amp;" AB Equity","VWAP")</f>
        <v>36.069099999999999</v>
      </c>
      <c r="O220" t="str">
        <f>_xll.BDP(A220&amp;" AB Equity","SAUDI_ARABIA_EXCHANGE_ID")</f>
        <v>2150</v>
      </c>
      <c r="P220">
        <f>_xll.BDP(A220&amp;" AB Equity","VOLUME_AVG_30D")</f>
        <v>154262.9</v>
      </c>
      <c r="Q220">
        <f>_xll.BDP(A220&amp;" AB Equity","BID")</f>
        <v>36</v>
      </c>
      <c r="R220">
        <f>_xll.BDP(A220&amp;" AB Equity","ASK")</f>
        <v>36.04</v>
      </c>
      <c r="S220">
        <f>_xll.BDP(A220&amp;" AB Equity","CHG_PCT_MOV_AVG_200D")</f>
        <v>-4.5683379999999998</v>
      </c>
      <c r="T220">
        <f>_xll.BDP(A220&amp;" AB Equity","HIGH_30D")</f>
        <v>39.299999999999997</v>
      </c>
      <c r="U220">
        <f>_xll.BDP(A220&amp;" AB Equity","LOW_30D")</f>
        <v>35.6</v>
      </c>
      <c r="V220" s="11" t="str" cm="1">
        <f t="array" aca="1" ref="V220" ca="1">_xll.BDH(A220&amp;" AB Equity","MOV_AVG_200D",TODAY()-32,TODAY()-32,"Days=T")</f>
        <v>#N/A N/A</v>
      </c>
      <c r="W220">
        <v>56.331099999999999</v>
      </c>
      <c r="X220">
        <f>IF(B220="","",_xlfn.SINGLE(_xll.BDP(A220&amp;" AB Equity","MOV_AVG_200D")))</f>
        <v>37.786200000000001</v>
      </c>
    </row>
    <row r="221" spans="1:24" x14ac:dyDescent="0.25">
      <c r="A221" t="s">
        <v>228</v>
      </c>
      <c r="B221">
        <f>_xll.BDP(A221&amp;" AB Equity","LAST_PRICE")</f>
        <v>33.979999999999997</v>
      </c>
      <c r="C221">
        <f>_xll.BDP(A221&amp;" AB Equity","LAST_PRICE")</f>
        <v>33.979999999999997</v>
      </c>
      <c r="D221">
        <f>_xll.BDP(A221&amp;" AB Equity","RT_PX_CHG_PCT_1D")</f>
        <v>-0.93290001153945923</v>
      </c>
      <c r="E221">
        <f>_xll.BDP(A221&amp;" AB Equity","CHG_PCT_1M_RT")</f>
        <v>-1.8486</v>
      </c>
      <c r="F221">
        <f>_xll.BDP(A221&amp;" AB Equity","CHG_PCT_YTD_RT")</f>
        <v>-11.279400000000001</v>
      </c>
      <c r="G221">
        <f>_xll.BDP(A221&amp;" AB Equity","YEST_LAST_TRADE")</f>
        <v>34.299999999999997</v>
      </c>
      <c r="H221">
        <f>_xll.BDP(A221&amp;" AB Equity","HIGH_52WEEK")</f>
        <v>47.96</v>
      </c>
      <c r="I221">
        <f>_xll.BDP(A221&amp;" AB Equity","LOW_52WEEK")</f>
        <v>28.68</v>
      </c>
      <c r="J221">
        <f>_xll.BDP(A221&amp;" AB Equity","VOLUME")</f>
        <v>202036</v>
      </c>
      <c r="K221">
        <f>_xll.BDP(A221&amp;" AB Equity","OPEN")</f>
        <v>34.119999999999997</v>
      </c>
      <c r="L221">
        <f>_xll.BDP(A221&amp;" AB Equity","LOW")</f>
        <v>33.840000000000003</v>
      </c>
      <c r="M221">
        <f>_xll.BDP(A221&amp;" AB Equity","HIGH")</f>
        <v>34.5</v>
      </c>
      <c r="N221">
        <f>_xll.BDP(A221&amp;" AB Equity","VWAP")</f>
        <v>34.095599999999997</v>
      </c>
      <c r="O221" t="str">
        <f>_xll.BDP(A221&amp;" AB Equity","SAUDI_ARABIA_EXCHANGE_ID")</f>
        <v>2240</v>
      </c>
      <c r="P221">
        <f>_xll.BDP(A221&amp;" AB Equity","VOLUME_AVG_30D")</f>
        <v>671380.9</v>
      </c>
      <c r="Q221">
        <f>_xll.BDP(A221&amp;" AB Equity","BID")</f>
        <v>33.9</v>
      </c>
      <c r="R221">
        <f>_xll.BDP(A221&amp;" AB Equity","ASK")</f>
        <v>33.979999999999997</v>
      </c>
      <c r="S221">
        <f>_xll.BDP(A221&amp;" AB Equity","CHG_PCT_MOV_AVG_200D")</f>
        <v>-6.1014730000000004</v>
      </c>
      <c r="T221">
        <f>_xll.BDP(A221&amp;" AB Equity","HIGH_30D")</f>
        <v>36.04</v>
      </c>
      <c r="U221">
        <f>_xll.BDP(A221&amp;" AB Equity","LOW_30D")</f>
        <v>33.28</v>
      </c>
      <c r="V221" s="11" t="str" cm="1">
        <f t="array" aca="1" ref="V221" ca="1">_xll.BDH(A221&amp;" AB Equity","MOV_AVG_200D",TODAY()-32,TODAY()-32,"Days=T")</f>
        <v>#N/A N/A</v>
      </c>
      <c r="W221">
        <v>6.4531999999999998</v>
      </c>
      <c r="X221">
        <f>IF(B221="","",_xlfn.SINGLE(_xll.BDP(A221&amp;" AB Equity","MOV_AVG_200D")))</f>
        <v>36.251899999999999</v>
      </c>
    </row>
    <row r="222" spans="1:24" x14ac:dyDescent="0.25">
      <c r="A222" t="s">
        <v>229</v>
      </c>
      <c r="B222">
        <f>_xll.BDP(A222&amp;" AB Equity","LAST_PRICE")</f>
        <v>25.26</v>
      </c>
      <c r="C222">
        <f>_xll.BDP(A222&amp;" AB Equity","LAST_PRICE")</f>
        <v>25.26</v>
      </c>
      <c r="D222">
        <f>_xll.BDP(A222&amp;" AB Equity","RT_PX_CHG_PCT_1D")</f>
        <v>-0.94120001792907715</v>
      </c>
      <c r="E222">
        <f>_xll.BDP(A222&amp;" AB Equity","CHG_PCT_1M_RT")</f>
        <v>1.9782</v>
      </c>
      <c r="F222">
        <f>_xll.BDP(A222&amp;" AB Equity","CHG_PCT_YTD_RT")</f>
        <v>8.3190000000000008</v>
      </c>
      <c r="G222">
        <f>_xll.BDP(A222&amp;" AB Equity","YEST_LAST_TRADE")</f>
        <v>25.5</v>
      </c>
      <c r="H222">
        <f>_xll.BDP(A222&amp;" AB Equity","HIGH_52WEEK")</f>
        <v>36.799999999999997</v>
      </c>
      <c r="I222">
        <f>_xll.BDP(A222&amp;" AB Equity","LOW_52WEEK")</f>
        <v>22.59</v>
      </c>
      <c r="J222">
        <f>_xll.BDP(A222&amp;" AB Equity","VOLUME")</f>
        <v>215230</v>
      </c>
      <c r="K222">
        <f>_xll.BDP(A222&amp;" AB Equity","OPEN")</f>
        <v>25.48</v>
      </c>
      <c r="L222">
        <f>_xll.BDP(A222&amp;" AB Equity","LOW")</f>
        <v>25.1</v>
      </c>
      <c r="M222">
        <f>_xll.BDP(A222&amp;" AB Equity","HIGH")</f>
        <v>25.52</v>
      </c>
      <c r="N222">
        <f>_xll.BDP(A222&amp;" AB Equity","VWAP")</f>
        <v>25.226299999999998</v>
      </c>
      <c r="O222" t="str">
        <f>_xll.BDP(A222&amp;" AB Equity","SAUDI_ARABIA_EXCHANGE_ID")</f>
        <v>3020</v>
      </c>
      <c r="P222">
        <f>_xll.BDP(A222&amp;" AB Equity","VOLUME_AVG_30D")</f>
        <v>332771</v>
      </c>
      <c r="Q222">
        <f>_xll.BDP(A222&amp;" AB Equity","BID")</f>
        <v>25.18</v>
      </c>
      <c r="R222">
        <f>_xll.BDP(A222&amp;" AB Equity","ASK")</f>
        <v>25.26</v>
      </c>
      <c r="S222">
        <f>_xll.BDP(A222&amp;" AB Equity","CHG_PCT_MOV_AVG_200D")</f>
        <v>-3.2863829999999998</v>
      </c>
      <c r="T222">
        <f>_xll.BDP(A222&amp;" AB Equity","HIGH_30D")</f>
        <v>26.46</v>
      </c>
      <c r="U222">
        <f>_xll.BDP(A222&amp;" AB Equity","LOW_30D")</f>
        <v>24.29</v>
      </c>
      <c r="V222" s="11" t="str" cm="1">
        <f t="array" aca="1" ref="V222" ca="1">_xll.BDH(A222&amp;" AB Equity","MOV_AVG_200D",TODAY()-32,TODAY()-32,"Days=T")</f>
        <v>#N/A N/A</v>
      </c>
      <c r="W222">
        <v>37.555500000000002</v>
      </c>
      <c r="X222">
        <f>IF(B222="","",_xlfn.SINGLE(_xll.BDP(A222&amp;" AB Equity","MOV_AVG_200D")))</f>
        <v>26.11835</v>
      </c>
    </row>
    <row r="223" spans="1:24" x14ac:dyDescent="0.25">
      <c r="A223" t="s">
        <v>230</v>
      </c>
      <c r="B223">
        <f>_xll.BDP(A223&amp;" AB Equity","LAST_PRICE")</f>
        <v>11.28</v>
      </c>
      <c r="C223">
        <f>_xll.BDP(A223&amp;" AB Equity","LAST_PRICE")</f>
        <v>11.28</v>
      </c>
      <c r="D223">
        <f>_xll.BDP(A223&amp;" AB Equity","RT_PX_CHG_PCT_1D")</f>
        <v>0.17759999632835388</v>
      </c>
      <c r="E223">
        <f>_xll.BDP(A223&amp;" AB Equity","CHG_PCT_1M_RT")</f>
        <v>-7.5410000000000004</v>
      </c>
      <c r="F223">
        <f>_xll.BDP(A223&amp;" AB Equity","CHG_PCT_YTD_RT")</f>
        <v>-10.5472</v>
      </c>
      <c r="G223">
        <f>_xll.BDP(A223&amp;" AB Equity","YEST_LAST_TRADE")</f>
        <v>11.26</v>
      </c>
      <c r="H223">
        <f>_xll.BDP(A223&amp;" AB Equity","HIGH_52WEEK")</f>
        <v>17.89</v>
      </c>
      <c r="I223">
        <f>_xll.BDP(A223&amp;" AB Equity","LOW_52WEEK")</f>
        <v>10.9</v>
      </c>
      <c r="J223">
        <f>_xll.BDP(A223&amp;" AB Equity","VOLUME")</f>
        <v>229948</v>
      </c>
      <c r="K223">
        <f>_xll.BDP(A223&amp;" AB Equity","OPEN")</f>
        <v>11.27</v>
      </c>
      <c r="L223">
        <f>_xll.BDP(A223&amp;" AB Equity","LOW")</f>
        <v>11.25</v>
      </c>
      <c r="M223">
        <f>_xll.BDP(A223&amp;" AB Equity","HIGH")</f>
        <v>11.38</v>
      </c>
      <c r="N223">
        <f>_xll.BDP(A223&amp;" AB Equity","VWAP")</f>
        <v>11.3285</v>
      </c>
      <c r="O223" t="str">
        <f>_xll.BDP(A223&amp;" AB Equity","SAUDI_ARABIA_EXCHANGE_ID")</f>
        <v>3003</v>
      </c>
      <c r="P223">
        <f>_xll.BDP(A223&amp;" AB Equity","VOLUME_AVG_30D")</f>
        <v>686874</v>
      </c>
      <c r="Q223">
        <f>_xll.BDP(A223&amp;" AB Equity","BID")</f>
        <v>11.28</v>
      </c>
      <c r="R223">
        <f>_xll.BDP(A223&amp;" AB Equity","ASK")</f>
        <v>11.32</v>
      </c>
      <c r="S223">
        <f>_xll.BDP(A223&amp;" AB Equity","CHG_PCT_MOV_AVG_200D")</f>
        <v>-13.862640000000001</v>
      </c>
      <c r="T223">
        <f>_xll.BDP(A223&amp;" AB Equity","HIGH_30D")</f>
        <v>12.25</v>
      </c>
      <c r="U223">
        <f>_xll.BDP(A223&amp;" AB Equity","LOW_30D")</f>
        <v>11.16</v>
      </c>
      <c r="V223" s="11" t="str" cm="1">
        <f t="array" aca="1" ref="V223" ca="1">_xll.BDH(A223&amp;" AB Equity","MOV_AVG_200D",TODAY()-32,TODAY()-32,"Days=T")</f>
        <v>#N/A N/A</v>
      </c>
      <c r="W223">
        <v>37.522799999999997</v>
      </c>
      <c r="X223">
        <f>IF(B223="","",_xlfn.SINGLE(_xll.BDP(A223&amp;" AB Equity","MOV_AVG_200D")))</f>
        <v>13.1418</v>
      </c>
    </row>
    <row r="224" spans="1:24" x14ac:dyDescent="0.25">
      <c r="A224" t="s">
        <v>231</v>
      </c>
      <c r="B224">
        <f>_xll.BDP(A224&amp;" AB Equity","LAST_PRICE")</f>
        <v>9.0399999999999991</v>
      </c>
      <c r="C224">
        <f>_xll.BDP(A224&amp;" AB Equity","LAST_PRICE")</f>
        <v>9.0399999999999991</v>
      </c>
      <c r="D224">
        <f>_xll.BDP(A224&amp;" AB Equity","RT_PX_CHG_PCT_1D")</f>
        <v>0.11069999635219574</v>
      </c>
      <c r="E224">
        <f>_xll.BDP(A224&amp;" AB Equity","CHG_PCT_1M_RT")</f>
        <v>-8.9626999999999999</v>
      </c>
      <c r="F224">
        <f>_xll.BDP(A224&amp;" AB Equity","CHG_PCT_YTD_RT")</f>
        <v>-1.9522999999999999</v>
      </c>
      <c r="G224">
        <f>_xll.BDP(A224&amp;" AB Equity","YEST_LAST_TRADE")</f>
        <v>9.0299999999999994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478368</v>
      </c>
      <c r="K224">
        <f>_xll.BDP(A224&amp;" AB Equity","OPEN")</f>
        <v>9.06</v>
      </c>
      <c r="L224">
        <f>_xll.BDP(A224&amp;" AB Equity","LOW")</f>
        <v>9.01</v>
      </c>
      <c r="M224">
        <f>_xll.BDP(A224&amp;" AB Equity","HIGH")</f>
        <v>9.2200000000000006</v>
      </c>
      <c r="N224">
        <f>_xll.BDP(A224&amp;" AB Equity","VWAP")</f>
        <v>9.1018000000000008</v>
      </c>
      <c r="O224" t="str">
        <f>_xll.BDP(A224&amp;" AB Equity","SAUDI_ARABIA_EXCHANGE_ID")</f>
        <v>2060</v>
      </c>
      <c r="P224">
        <f>_xll.BDP(A224&amp;" AB Equity","VOLUME_AVG_30D")</f>
        <v>755512.7</v>
      </c>
      <c r="Q224">
        <f>_xll.BDP(A224&amp;" AB Equity","BID")</f>
        <v>9.0299999999999994</v>
      </c>
      <c r="R224">
        <f>_xll.BDP(A224&amp;" AB Equity","ASK")</f>
        <v>9.0399999999999991</v>
      </c>
      <c r="S224">
        <f>_xll.BDP(A224&amp;" AB Equity","CHG_PCT_MOV_AVG_200D")</f>
        <v>-8.0251070000000002</v>
      </c>
      <c r="T224">
        <f>_xll.BDP(A224&amp;" AB Equity","HIGH_30D")</f>
        <v>10.18</v>
      </c>
      <c r="U224">
        <f>_xll.BDP(A224&amp;" AB Equity","LOW_30D")</f>
        <v>9.02</v>
      </c>
      <c r="V224" s="11" t="str" cm="1">
        <f t="array" aca="1" ref="V224" ca="1">_xll.BDH(A224&amp;" AB Equity","MOV_AVG_200D",TODAY()-32,TODAY()-32,"Days=T")</f>
        <v>#N/A N/A</v>
      </c>
      <c r="W224">
        <v>9.9018999999999995</v>
      </c>
      <c r="X224">
        <f>IF(B224="","",_xlfn.SINGLE(_xll.BDP(A224&amp;" AB Equity","MOV_AVG_200D")))</f>
        <v>9.9157499999999992</v>
      </c>
    </row>
    <row r="225" spans="1:24" x14ac:dyDescent="0.25">
      <c r="A225" t="s">
        <v>232</v>
      </c>
      <c r="B225">
        <f>_xll.BDP(A225&amp;" AB Equity","LAST_PRICE")</f>
        <v>44.9</v>
      </c>
      <c r="C225">
        <f>_xll.BDP(A225&amp;" AB Equity","LAST_PRICE")</f>
        <v>44.9</v>
      </c>
      <c r="D225">
        <f>_xll.BDP(A225&amp;" AB Equity","RT_PX_CHG_PCT_1D")</f>
        <v>4.4599998742341995E-2</v>
      </c>
      <c r="E225">
        <f>_xll.BDP(A225&amp;" AB Equity","CHG_PCT_1M_RT")</f>
        <v>-2.5608</v>
      </c>
      <c r="F225">
        <f>_xll.BDP(A225&amp;" AB Equity","CHG_PCT_YTD_RT")</f>
        <v>6.6508000000000003</v>
      </c>
      <c r="G225">
        <f>_xll.BDP(A225&amp;" AB Equity","YEST_LAST_TRADE")</f>
        <v>44.88</v>
      </c>
      <c r="H225">
        <f>_xll.BDP(A225&amp;" AB Equity","HIGH_52WEEK")</f>
        <v>51.7</v>
      </c>
      <c r="I225">
        <f>_xll.BDP(A225&amp;" AB Equity","LOW_52WEEK")</f>
        <v>40.5</v>
      </c>
      <c r="J225">
        <f>_xll.BDP(A225&amp;" AB Equity","VOLUME")</f>
        <v>67353</v>
      </c>
      <c r="K225">
        <f>_xll.BDP(A225&amp;" AB Equity","OPEN")</f>
        <v>44.88</v>
      </c>
      <c r="L225">
        <f>_xll.BDP(A225&amp;" AB Equity","LOW")</f>
        <v>44.72</v>
      </c>
      <c r="M225">
        <f>_xll.BDP(A225&amp;" AB Equity","HIGH")</f>
        <v>44.98</v>
      </c>
      <c r="N225">
        <f>_xll.BDP(A225&amp;" AB Equity","VWAP")</f>
        <v>44.821300000000001</v>
      </c>
      <c r="O225" t="str">
        <f>_xll.BDP(A225&amp;" AB Equity","SAUDI_ARABIA_EXCHANGE_ID")</f>
        <v>3040</v>
      </c>
      <c r="P225">
        <f>_xll.BDP(A225&amp;" AB Equity","VOLUME_AVG_30D")</f>
        <v>159321.1</v>
      </c>
      <c r="Q225">
        <f>_xll.BDP(A225&amp;" AB Equity","BID")</f>
        <v>44.86</v>
      </c>
      <c r="R225">
        <f>_xll.BDP(A225&amp;" AB Equity","ASK")</f>
        <v>44.9</v>
      </c>
      <c r="S225">
        <f>_xll.BDP(A225&amp;" AB Equity","CHG_PCT_MOV_AVG_200D")</f>
        <v>4.7382239999999998</v>
      </c>
      <c r="T225">
        <f>_xll.BDP(A225&amp;" AB Equity","HIGH_30D")</f>
        <v>46.48</v>
      </c>
      <c r="U225">
        <f>_xll.BDP(A225&amp;" AB Equity","LOW_30D")</f>
        <v>43.78</v>
      </c>
      <c r="V225" s="11" t="str" cm="1">
        <f t="array" aca="1" ref="V225" ca="1">_xll.BDH(A225&amp;" AB Equity","MOV_AVG_200D",TODAY()-32,TODAY()-32,"Days=T")</f>
        <v>#N/A N/A</v>
      </c>
      <c r="W225">
        <v>9.9052000000000007</v>
      </c>
      <c r="X225">
        <f>IF(B225="","",_xlfn.SINGLE(_xll.BDP(A225&amp;" AB Equity","MOV_AVG_200D")))</f>
        <v>42.792400000000001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0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29.48</v>
      </c>
      <c r="I226">
        <f>_xll.BDP(A226&amp;" AB Equity","LOW_52WEEK")</f>
        <v>18.559999999999999</v>
      </c>
      <c r="J226" t="str">
        <f>_xll.BDP(A226&amp;" AB Equity","VOLUME")</f>
        <v>#N/A N/A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0</v>
      </c>
      <c r="Q226" t="str">
        <f>_xll.BDP(A226&amp;" AB Equity","BID")</f>
        <v>#N/A N/A</v>
      </c>
      <c r="R226" t="str">
        <f>_xll.BDP(A226&amp;" AB Equity","ASK")</f>
        <v>#N/A N/A</v>
      </c>
      <c r="S226">
        <f>_xll.BDP(A226&amp;" AB Equity","CHG_PCT_MOV_AVG_200D")</f>
        <v>-16.627739999999999</v>
      </c>
      <c r="T226">
        <f>_xll.BDP(A226&amp;" AB Equity","HIGH_30D")</f>
        <v>18.739999999999998</v>
      </c>
      <c r="U226">
        <f>_xll.BDP(A226&amp;" AB Equity","LOW_30D")</f>
        <v>18.739999999999998</v>
      </c>
      <c r="V226" s="11" t="str" cm="1">
        <f t="array" aca="1" ref="V226" ca="1">_xll.BDH(A226&amp;" AB Equity","MOV_AVG_200D",TODAY()-32,TODAY()-32,"Days=T")</f>
        <v>#N/A N/A</v>
      </c>
      <c r="W226">
        <v>9.9085999999999999</v>
      </c>
      <c r="X226">
        <f>IF(B226="","",_xlfn.SINGLE(_xll.BDP(A226&amp;" AB Equity","MOV_AVG_200D")))</f>
        <v>22.477499999999999</v>
      </c>
    </row>
    <row r="227" spans="1:24" x14ac:dyDescent="0.25">
      <c r="A227" t="s">
        <v>234</v>
      </c>
      <c r="B227">
        <f>_xll.BDP(A227&amp;" AB Equity","LAST_PRICE")</f>
        <v>13.33</v>
      </c>
      <c r="C227">
        <f>_xll.BDP(A227&amp;" AB Equity","LAST_PRICE")</f>
        <v>13.33</v>
      </c>
      <c r="D227">
        <f>_xll.BDP(A227&amp;" AB Equity","RT_PX_CHG_PCT_1D")</f>
        <v>-0.67059999704360962</v>
      </c>
      <c r="E227">
        <f>_xll.BDP(A227&amp;" AB Equity","CHG_PCT_1M_RT")</f>
        <v>-5.4610000000000003</v>
      </c>
      <c r="F227">
        <f>_xll.BDP(A227&amp;" AB Equity","CHG_PCT_YTD_RT")</f>
        <v>7.3269000000000002</v>
      </c>
      <c r="G227">
        <f>_xll.BDP(A227&amp;" AB Equity","YEST_LAST_TRADE")</f>
        <v>13.42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412956</v>
      </c>
      <c r="K227">
        <f>_xll.BDP(A227&amp;" AB Equity","OPEN")</f>
        <v>13.42</v>
      </c>
      <c r="L227">
        <f>_xll.BDP(A227&amp;" AB Equity","LOW")</f>
        <v>13.33</v>
      </c>
      <c r="M227">
        <f>_xll.BDP(A227&amp;" AB Equity","HIGH")</f>
        <v>13.58</v>
      </c>
      <c r="N227">
        <f>_xll.BDP(A227&amp;" AB Equity","VWAP")</f>
        <v>13.4421</v>
      </c>
      <c r="O227" t="str">
        <f>_xll.BDP(A227&amp;" AB Equity","SAUDI_ARABIA_EXCHANGE_ID")</f>
        <v>2250</v>
      </c>
      <c r="P227">
        <f>_xll.BDP(A227&amp;" AB Equity","VOLUME_AVG_30D")</f>
        <v>694704.3</v>
      </c>
      <c r="Q227">
        <f>_xll.BDP(A227&amp;" AB Equity","BID")</f>
        <v>13.33</v>
      </c>
      <c r="R227">
        <f>_xll.BDP(A227&amp;" AB Equity","ASK")</f>
        <v>13.41</v>
      </c>
      <c r="S227">
        <f>_xll.BDP(A227&amp;" AB Equity","CHG_PCT_MOV_AVG_200D")</f>
        <v>-6.4438940000000002</v>
      </c>
      <c r="T227">
        <f>_xll.BDP(A227&amp;" AB Equity","HIGH_30D")</f>
        <v>14.8</v>
      </c>
      <c r="U227">
        <f>_xll.BDP(A227&amp;" AB Equity","LOW_30D")</f>
        <v>13.36</v>
      </c>
      <c r="V227" s="11" t="str" cm="1">
        <f t="array" aca="1" ref="V227" ca="1">_xll.BDH(A227&amp;" AB Equity","MOV_AVG_200D",TODAY()-32,TODAY()-32,"Days=T")</f>
        <v>#N/A N/A</v>
      </c>
      <c r="W227">
        <v>9.9128000000000007</v>
      </c>
      <c r="X227">
        <f>IF(B227="","",_xlfn.SINGLE(_xll.BDP(A227&amp;" AB Equity","MOV_AVG_200D")))</f>
        <v>14.3764</v>
      </c>
    </row>
    <row r="228" spans="1:24" x14ac:dyDescent="0.25">
      <c r="A228" t="s">
        <v>235</v>
      </c>
      <c r="B228">
        <f>_xll.BDP(A228&amp;" AB Equity","LAST_PRICE")</f>
        <v>51.55</v>
      </c>
      <c r="C228">
        <f>_xll.BDP(A228&amp;" AB Equity","LAST_PRICE")</f>
        <v>51.55</v>
      </c>
      <c r="D228">
        <f>_xll.BDP(A228&amp;" AB Equity","RT_PX_CHG_PCT_1D")</f>
        <v>-1.0556999444961548</v>
      </c>
      <c r="E228">
        <f>_xll.BDP(A228&amp;" AB Equity","CHG_PCT_1M_RT")</f>
        <v>-8.4368999999999996</v>
      </c>
      <c r="F228">
        <f>_xll.BDP(A228&amp;" AB Equity","CHG_PCT_YTD_RT")</f>
        <v>0.48730000000000001</v>
      </c>
      <c r="G228">
        <f>_xll.BDP(A228&amp;" AB Equity","YEST_LAST_TRADE")</f>
        <v>52.1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2514736</v>
      </c>
      <c r="K228">
        <f>_xll.BDP(A228&amp;" AB Equity","OPEN")</f>
        <v>52.1</v>
      </c>
      <c r="L228">
        <f>_xll.BDP(A228&amp;" AB Equity","LOW")</f>
        <v>51.45</v>
      </c>
      <c r="M228">
        <f>_xll.BDP(A228&amp;" AB Equity","HIGH")</f>
        <v>52.6</v>
      </c>
      <c r="N228">
        <f>_xll.BDP(A228&amp;" AB Equity","VWAP")</f>
        <v>51.772799999999997</v>
      </c>
      <c r="O228" t="str">
        <f>_xll.BDP(A228&amp;" AB Equity","SAUDI_ARABIA_EXCHANGE_ID")</f>
        <v>2010</v>
      </c>
      <c r="P228">
        <f>_xll.BDP(A228&amp;" AB Equity","VOLUME_AVG_30D")</f>
        <v>1998262</v>
      </c>
      <c r="Q228">
        <f>_xll.BDP(A228&amp;" AB Equity","BID")</f>
        <v>51.5</v>
      </c>
      <c r="R228">
        <f>_xll.BDP(A228&amp;" AB Equity","ASK")</f>
        <v>51.55</v>
      </c>
      <c r="S228">
        <f>_xll.BDP(A228&amp;" AB Equity","CHG_PCT_MOV_AVG_200D")</f>
        <v>-8.9565450000000002</v>
      </c>
      <c r="T228">
        <f>_xll.BDP(A228&amp;" AB Equity","HIGH_30D")</f>
        <v>61.65</v>
      </c>
      <c r="U228">
        <f>_xll.BDP(A228&amp;" AB Equity","LOW_30D")</f>
        <v>51.6</v>
      </c>
      <c r="V228" s="11" t="str" cm="1">
        <f t="array" aca="1" ref="V228" ca="1">_xll.BDH(A228&amp;" AB Equity","MOV_AVG_200D",TODAY()-32,TODAY()-32,"Days=T")</f>
        <v>#N/A N/A</v>
      </c>
      <c r="W228">
        <v>56.912500000000001</v>
      </c>
      <c r="X228">
        <f>IF(B228="","",_xlfn.SINGLE(_xll.BDP(A228&amp;" AB Equity","MOV_AVG_200D")))</f>
        <v>57.170499999999997</v>
      </c>
    </row>
    <row r="229" spans="1:24" x14ac:dyDescent="0.25">
      <c r="A229" t="s">
        <v>236</v>
      </c>
      <c r="B229">
        <f>_xll.BDP(A229&amp;" AB Equity","LAST_PRICE")</f>
        <v>30.32</v>
      </c>
      <c r="C229">
        <f>_xll.BDP(A229&amp;" AB Equity","LAST_PRICE")</f>
        <v>30.32</v>
      </c>
      <c r="D229">
        <f>_xll.BDP(A229&amp;" AB Equity","RT_PX_CHG_PCT_1D")</f>
        <v>-1.2378000020980835</v>
      </c>
      <c r="E229">
        <f>_xll.BDP(A229&amp;" AB Equity","CHG_PCT_1M_RT")</f>
        <v>-5.25</v>
      </c>
      <c r="F229">
        <f>_xll.BDP(A229&amp;" AB Equity","CHG_PCT_YTD_RT")</f>
        <v>-11.9628</v>
      </c>
      <c r="G229">
        <f>_xll.BDP(A229&amp;" AB Equity","YEST_LAST_TRADE")</f>
        <v>30.7</v>
      </c>
      <c r="H229">
        <f>_xll.BDP(A229&amp;" AB Equity","HIGH_52WEEK")</f>
        <v>41.58</v>
      </c>
      <c r="I229">
        <f>_xll.BDP(A229&amp;" AB Equity","LOW_52WEEK")</f>
        <v>29.74</v>
      </c>
      <c r="J229">
        <f>_xll.BDP(A229&amp;" AB Equity","VOLUME")</f>
        <v>190389</v>
      </c>
      <c r="K229">
        <f>_xll.BDP(A229&amp;" AB Equity","OPEN")</f>
        <v>30.7</v>
      </c>
      <c r="L229">
        <f>_xll.BDP(A229&amp;" AB Equity","LOW")</f>
        <v>30.3</v>
      </c>
      <c r="M229">
        <f>_xll.BDP(A229&amp;" AB Equity","HIGH")</f>
        <v>30.72</v>
      </c>
      <c r="N229">
        <f>_xll.BDP(A229&amp;" AB Equity","VWAP")</f>
        <v>30.4222</v>
      </c>
      <c r="O229" t="str">
        <f>_xll.BDP(A229&amp;" AB Equity","SAUDI_ARABIA_EXCHANGE_ID")</f>
        <v>3030</v>
      </c>
      <c r="P229">
        <f>_xll.BDP(A229&amp;" AB Equity","VOLUME_AVG_30D")</f>
        <v>190224.4</v>
      </c>
      <c r="Q229">
        <f>_xll.BDP(A229&amp;" AB Equity","BID")</f>
        <v>30.32</v>
      </c>
      <c r="R229">
        <f>_xll.BDP(A229&amp;" AB Equity","ASK")</f>
        <v>30.34</v>
      </c>
      <c r="S229">
        <f>_xll.BDP(A229&amp;" AB Equity","CHG_PCT_MOV_AVG_200D")</f>
        <v>-13.552099999999999</v>
      </c>
      <c r="T229">
        <f>_xll.BDP(A229&amp;" AB Equity","HIGH_30D")</f>
        <v>33.64</v>
      </c>
      <c r="U229">
        <f>_xll.BDP(A229&amp;" AB Equity","LOW_30D")</f>
        <v>30.5</v>
      </c>
      <c r="V229" s="11" t="str" cm="1">
        <f t="array" aca="1" ref="V229" ca="1">_xll.BDH(A229&amp;" AB Equity","MOV_AVG_200D",TODAY()-32,TODAY()-32,"Days=T")</f>
        <v>#N/A N/A</v>
      </c>
      <c r="W229">
        <v>56.934199999999997</v>
      </c>
      <c r="X229">
        <f>IF(B229="","",_xlfn.SINGLE(_xll.BDP(A229&amp;" AB Equity","MOV_AVG_200D")))</f>
        <v>35.304499999999997</v>
      </c>
    </row>
    <row r="230" spans="1:24" x14ac:dyDescent="0.25">
      <c r="A230" t="s">
        <v>237</v>
      </c>
      <c r="B230">
        <f>_xll.BDP(A230&amp;" AB Equity","LAST_PRICE")</f>
        <v>6.73</v>
      </c>
      <c r="C230">
        <f>_xll.BDP(A230&amp;" AB Equity","LAST_PRICE")</f>
        <v>6.73</v>
      </c>
      <c r="D230">
        <f>_xll.BDP(A230&amp;" AB Equity","RT_PX_CHG_PCT_1D")</f>
        <v>0.59789997339248657</v>
      </c>
      <c r="E230">
        <f>_xll.BDP(A230&amp;" AB Equity","CHG_PCT_1M_RT")</f>
        <v>-3.4432999999999998</v>
      </c>
      <c r="F230">
        <f>_xll.BDP(A230&amp;" AB Equity","CHG_PCT_YTD_RT")</f>
        <v>-6.3978000000000002</v>
      </c>
      <c r="G230">
        <f>_xll.BDP(A230&amp;" AB Equity","YEST_LAST_TRADE")</f>
        <v>6.69</v>
      </c>
      <c r="H230">
        <f>_xll.BDP(A230&amp;" AB Equity","HIGH_52WEEK")</f>
        <v>8.65</v>
      </c>
      <c r="I230">
        <f>_xll.BDP(A230&amp;" AB Equity","LOW_52WEEK")</f>
        <v>6.56</v>
      </c>
      <c r="J230">
        <f>_xll.BDP(A230&amp;" AB Equity","VOLUME")</f>
        <v>166268</v>
      </c>
      <c r="K230">
        <f>_xll.BDP(A230&amp;" AB Equity","OPEN")</f>
        <v>6.71</v>
      </c>
      <c r="L230">
        <f>_xll.BDP(A230&amp;" AB Equity","LOW")</f>
        <v>6.7</v>
      </c>
      <c r="M230">
        <f>_xll.BDP(A230&amp;" AB Equity","HIGH")</f>
        <v>6.74</v>
      </c>
      <c r="N230">
        <f>_xll.BDP(A230&amp;" AB Equity","VWAP")</f>
        <v>6.7268999999999997</v>
      </c>
      <c r="O230" t="str">
        <f>_xll.BDP(A230&amp;" AB Equity","SAUDI_ARABIA_EXCHANGE_ID")</f>
        <v>3004</v>
      </c>
      <c r="P230">
        <f>_xll.BDP(A230&amp;" AB Equity","VOLUME_AVG_30D")</f>
        <v>136101.6</v>
      </c>
      <c r="Q230">
        <f>_xll.BDP(A230&amp;" AB Equity","BID")</f>
        <v>6.71</v>
      </c>
      <c r="R230">
        <f>_xll.BDP(A230&amp;" AB Equity","ASK")</f>
        <v>6.73</v>
      </c>
      <c r="S230">
        <f>_xll.BDP(A230&amp;" AB Equity","CHG_PCT_MOV_AVG_200D")</f>
        <v>-7.2510870000000001</v>
      </c>
      <c r="T230">
        <f>_xll.BDP(A230&amp;" AB Equity","HIGH_30D")</f>
        <v>7.07</v>
      </c>
      <c r="U230">
        <f>_xll.BDP(A230&amp;" AB Equity","LOW_30D")</f>
        <v>6.68</v>
      </c>
      <c r="V230" s="11" t="str" cm="1">
        <f t="array" aca="1" ref="V230" ca="1">_xll.BDH(A230&amp;" AB Equity","MOV_AVG_200D",TODAY()-32,TODAY()-32,"Days=T")</f>
        <v>#N/A N/A</v>
      </c>
      <c r="W230">
        <v>56.960500000000003</v>
      </c>
      <c r="X230">
        <f>IF(B230="","",_xlfn.SINGLE(_xll.BDP(A230&amp;" AB Equity","MOV_AVG_200D")))</f>
        <v>7.2561499999999999</v>
      </c>
    </row>
    <row r="231" spans="1:24" x14ac:dyDescent="0.25">
      <c r="A231" t="s">
        <v>238</v>
      </c>
      <c r="B231">
        <f>_xll.BDP(A231&amp;" AB Equity","LAST_PRICE")</f>
        <v>23.1</v>
      </c>
      <c r="C231">
        <f>_xll.BDP(A231&amp;" AB Equity","LAST_PRICE")</f>
        <v>23.1</v>
      </c>
      <c r="D231">
        <f>_xll.BDP(A231&amp;" AB Equity","RT_PX_CHG_PCT_1D")</f>
        <v>-4.3299999088048935E-2</v>
      </c>
      <c r="E231">
        <f>_xll.BDP(A231&amp;" AB Equity","CHG_PCT_1M_RT")</f>
        <v>1.4938</v>
      </c>
      <c r="F231">
        <f>_xll.BDP(A231&amp;" AB Equity","CHG_PCT_YTD_RT")</f>
        <v>8.8082999999999991</v>
      </c>
      <c r="G231">
        <f>_xll.BDP(A231&amp;" AB Equity","YEST_LAST_TRADE")</f>
        <v>23.11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193134</v>
      </c>
      <c r="K231">
        <f>_xll.BDP(A231&amp;" AB Equity","OPEN")</f>
        <v>23.09</v>
      </c>
      <c r="L231">
        <f>_xll.BDP(A231&amp;" AB Equity","LOW")</f>
        <v>22.88</v>
      </c>
      <c r="M231">
        <f>_xll.BDP(A231&amp;" AB Equity","HIGH")</f>
        <v>23.23</v>
      </c>
      <c r="N231">
        <f>_xll.BDP(A231&amp;" AB Equity","VWAP")</f>
        <v>23.0258</v>
      </c>
      <c r="O231" t="str">
        <f>_xll.BDP(A231&amp;" AB Equity","SAUDI_ARABIA_EXCHANGE_ID")</f>
        <v>3010</v>
      </c>
      <c r="P231">
        <f>_xll.BDP(A231&amp;" AB Equity","VOLUME_AVG_30D")</f>
        <v>134385.70000000001</v>
      </c>
      <c r="Q231">
        <f>_xll.BDP(A231&amp;" AB Equity","BID")</f>
        <v>23.05</v>
      </c>
      <c r="R231">
        <f>_xll.BDP(A231&amp;" AB Equity","ASK")</f>
        <v>23.1</v>
      </c>
      <c r="S231">
        <f>_xll.BDP(A231&amp;" AB Equity","CHG_PCT_MOV_AVG_200D")</f>
        <v>4.0451759999999997</v>
      </c>
      <c r="T231">
        <f>_xll.BDP(A231&amp;" AB Equity","HIGH_30D")</f>
        <v>23.72</v>
      </c>
      <c r="U231">
        <f>_xll.BDP(A231&amp;" AB Equity","LOW_30D")</f>
        <v>22.4</v>
      </c>
      <c r="V231" s="11" t="str" cm="1">
        <f t="array" aca="1" ref="V231" ca="1">_xll.BDH(A231&amp;" AB Equity","MOV_AVG_200D",TODAY()-32,TODAY()-32,"Days=T")</f>
        <v>#N/A N/A</v>
      </c>
      <c r="W231">
        <v>56.984999999999999</v>
      </c>
      <c r="X231">
        <f>IF(B231="","",_xlfn.SINGLE(_xll.BDP(A231&amp;" AB Equity","MOV_AVG_200D")))</f>
        <v>22.249949999999998</v>
      </c>
    </row>
    <row r="232" spans="1:24" x14ac:dyDescent="0.25">
      <c r="A232" t="s">
        <v>239</v>
      </c>
      <c r="B232">
        <f>_xll.BDP(A232&amp;" AB Equity","LAST_PRICE")</f>
        <v>32.1</v>
      </c>
      <c r="C232">
        <f>_xll.BDP(A232&amp;" AB Equity","LAST_PRICE")</f>
        <v>32.1</v>
      </c>
      <c r="D232">
        <f>_xll.BDP(A232&amp;" AB Equity","RT_PX_CHG_PCT_1D")</f>
        <v>-0.4341999888420105</v>
      </c>
      <c r="E232">
        <f>_xll.BDP(A232&amp;" AB Equity","CHG_PCT_1M_RT")</f>
        <v>20.8584</v>
      </c>
      <c r="F232">
        <f>_xll.BDP(A232&amp;" AB Equity","CHG_PCT_YTD_RT")</f>
        <v>5.3841000000000001</v>
      </c>
      <c r="G232">
        <f>_xll.BDP(A232&amp;" AB Equity","YEST_LAST_TRADE")</f>
        <v>32.24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152336</v>
      </c>
      <c r="K232">
        <f>_xll.BDP(A232&amp;" AB Equity","OPEN")</f>
        <v>32.24</v>
      </c>
      <c r="L232">
        <f>_xll.BDP(A232&amp;" AB Equity","LOW")</f>
        <v>32</v>
      </c>
      <c r="M232">
        <f>_xll.BDP(A232&amp;" AB Equity","HIGH")</f>
        <v>33.36</v>
      </c>
      <c r="N232">
        <f>_xll.BDP(A232&amp;" AB Equity","VWAP")</f>
        <v>32.759399999999999</v>
      </c>
      <c r="O232" t="str">
        <f>_xll.BDP(A232&amp;" AB Equity","SAUDI_ARABIA_EXCHANGE_ID")</f>
        <v>2180</v>
      </c>
      <c r="P232">
        <f>_xll.BDP(A232&amp;" AB Equity","VOLUME_AVG_30D")</f>
        <v>97704.63</v>
      </c>
      <c r="Q232">
        <f>_xll.BDP(A232&amp;" AB Equity","BID")</f>
        <v>32.1</v>
      </c>
      <c r="R232">
        <f>_xll.BDP(A232&amp;" AB Equity","ASK")</f>
        <v>32.18</v>
      </c>
      <c r="S232">
        <f>_xll.BDP(A232&amp;" AB Equity","CHG_PCT_MOV_AVG_200D")</f>
        <v>5.5744600000000002</v>
      </c>
      <c r="T232">
        <f>_xll.BDP(A232&amp;" AB Equity","HIGH_30D")</f>
        <v>33.92</v>
      </c>
      <c r="U232">
        <f>_xll.BDP(A232&amp;" AB Equity","LOW_30D")</f>
        <v>26</v>
      </c>
      <c r="V232" s="11" t="str" cm="1">
        <f t="array" aca="1" ref="V232" ca="1">_xll.BDH(A232&amp;" AB Equity","MOV_AVG_200D",TODAY()-32,TODAY()-32,"Days=T")</f>
        <v>#N/A N/A</v>
      </c>
      <c r="W232">
        <v>57.009500000000003</v>
      </c>
      <c r="X232">
        <f>IF(B232="","",_xlfn.SINGLE(_xll.BDP(A232&amp;" AB Equity","MOV_AVG_200D")))</f>
        <v>30.973400000000002</v>
      </c>
    </row>
    <row r="233" spans="1:24" x14ac:dyDescent="0.25">
      <c r="A233" t="s">
        <v>240</v>
      </c>
      <c r="B233">
        <f>_xll.BDP(A233&amp;" AB Equity","LAST_PRICE")</f>
        <v>23.74</v>
      </c>
      <c r="C233">
        <f>_xll.BDP(A233&amp;" AB Equity","LAST_PRICE")</f>
        <v>23.74</v>
      </c>
      <c r="D233">
        <f>_xll.BDP(A233&amp;" AB Equity","RT_PX_CHG_PCT_1D")</f>
        <v>-1.083299994468689</v>
      </c>
      <c r="E233">
        <f>_xll.BDP(A233&amp;" AB Equity","CHG_PCT_1M_RT")</f>
        <v>-10.075799999999999</v>
      </c>
      <c r="F233">
        <f>_xll.BDP(A233&amp;" AB Equity","CHG_PCT_YTD_RT")</f>
        <v>-18.531199999999998</v>
      </c>
      <c r="G233">
        <f>_xll.BDP(A233&amp;" AB Equity","YEST_LAST_TRADE")</f>
        <v>24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437789</v>
      </c>
      <c r="K233">
        <f>_xll.BDP(A233&amp;" AB Equity","OPEN")</f>
        <v>23.98</v>
      </c>
      <c r="L233">
        <f>_xll.BDP(A233&amp;" AB Equity","LOW")</f>
        <v>23.7</v>
      </c>
      <c r="M233">
        <f>_xll.BDP(A233&amp;" AB Equity","HIGH")</f>
        <v>24.13</v>
      </c>
      <c r="N233">
        <f>_xll.BDP(A233&amp;" AB Equity","VWAP")</f>
        <v>23.939699999999998</v>
      </c>
      <c r="O233" t="str">
        <f>_xll.BDP(A233&amp;" AB Equity","SAUDI_ARABIA_EXCHANGE_ID")</f>
        <v>2330</v>
      </c>
      <c r="P233">
        <f>_xll.BDP(A233&amp;" AB Equity","VOLUME_AVG_30D")</f>
        <v>513545.1</v>
      </c>
      <c r="Q233">
        <f>_xll.BDP(A233&amp;" AB Equity","BID")</f>
        <v>23.74</v>
      </c>
      <c r="R233">
        <f>_xll.BDP(A233&amp;" AB Equity","ASK")</f>
        <v>23.83</v>
      </c>
      <c r="S233">
        <f>_xll.BDP(A233&amp;" AB Equity","CHG_PCT_MOV_AVG_200D")</f>
        <v>-17.535710000000002</v>
      </c>
      <c r="T233">
        <f>_xll.BDP(A233&amp;" AB Equity","HIGH_30D")</f>
        <v>27.98</v>
      </c>
      <c r="U233">
        <f>_xll.BDP(A233&amp;" AB Equity","LOW_30D")</f>
        <v>23.96</v>
      </c>
      <c r="V233" s="11" t="str" cm="1">
        <f t="array" aca="1" ref="V233" ca="1">_xll.BDH(A233&amp;" AB Equity","MOV_AVG_200D",TODAY()-32,TODAY()-32,"Days=T")</f>
        <v>#N/A N/A</v>
      </c>
      <c r="W233">
        <v>57.04</v>
      </c>
      <c r="X233">
        <f>IF(B233="","",_xlfn.SINGLE(_xll.BDP(A233&amp;" AB Equity","MOV_AVG_200D")))</f>
        <v>29.055</v>
      </c>
    </row>
    <row r="234" spans="1:24" x14ac:dyDescent="0.25">
      <c r="A234" t="s">
        <v>241</v>
      </c>
      <c r="B234">
        <f>_xll.BDP(A234&amp;" AB Equity","LAST_PRICE")</f>
        <v>8.8699999999999992</v>
      </c>
      <c r="C234">
        <f>_xll.BDP(A234&amp;" AB Equity","LAST_PRICE")</f>
        <v>8.8699999999999992</v>
      </c>
      <c r="D234">
        <f>_xll.BDP(A234&amp;" AB Equity","RT_PX_CHG_PCT_1D")</f>
        <v>0</v>
      </c>
      <c r="E234">
        <f>_xll.BDP(A234&amp;" AB Equity","CHG_PCT_1M_RT")</f>
        <v>0</v>
      </c>
      <c r="F234">
        <f>_xll.BDP(A234&amp;" AB Equity","CHG_PCT_YTD_RT")</f>
        <v>20.027100000000001</v>
      </c>
      <c r="G234">
        <f>_xll.BDP(A234&amp;" AB Equity","YEST_LAST_TRADE")</f>
        <v>8.8699999999999992</v>
      </c>
      <c r="H234">
        <f>_xll.BDP(A234&amp;" AB Equity","HIGH_52WEEK")</f>
        <v>13.96</v>
      </c>
      <c r="I234">
        <f>_xll.BDP(A234&amp;" AB Equity","LOW_52WEEK")</f>
        <v>5.88</v>
      </c>
      <c r="J234" t="str">
        <f>_xll.BDP(A234&amp;" AB Equity","VOLUME")</f>
        <v>#N/A N/A</v>
      </c>
      <c r="K234">
        <f>_xll.BDP(A234&amp;" AB Equity","OPEN")</f>
        <v>8.8699999999999992</v>
      </c>
      <c r="L234">
        <f>_xll.BDP(A234&amp;" AB Equity","LOW")</f>
        <v>8.8699999999999992</v>
      </c>
      <c r="M234">
        <f>_xll.BDP(A234&amp;" AB Equity","HIGH")</f>
        <v>8.8699999999999992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0</v>
      </c>
      <c r="Q234" t="str">
        <f>_xll.BDP(A234&amp;" AB Equity","BID")</f>
        <v>#N/A N/A</v>
      </c>
      <c r="R234" t="str">
        <f>_xll.BDP(A234&amp;" AB Equity","ASK")</f>
        <v>#N/A N/A</v>
      </c>
      <c r="S234">
        <f>_xll.BDP(A234&amp;" AB Equity","CHG_PCT_MOV_AVG_200D")</f>
        <v>2.1065930000000002</v>
      </c>
      <c r="T234">
        <f>_xll.BDP(A234&amp;" AB Equity","HIGH_30D")</f>
        <v>8.8699999999999992</v>
      </c>
      <c r="U234">
        <f>_xll.BDP(A234&amp;" AB Equity","LOW_30D")</f>
        <v>8.8699999999999992</v>
      </c>
      <c r="V234" s="11" t="str" cm="1">
        <f t="array" aca="1" ref="V234" ca="1">_xll.BDH(A234&amp;" AB Equity","MOV_AVG_200D",TODAY()-32,TODAY()-32,"Days=T")</f>
        <v>#N/A N/A</v>
      </c>
      <c r="W234">
        <v>9.5808999999999997</v>
      </c>
      <c r="X234">
        <f>IF(B234="","",_xlfn.SINGLE(_xll.BDP(A234&amp;" AB Equity","MOV_AVG_200D")))</f>
        <v>8.6869999999999994</v>
      </c>
    </row>
    <row r="235" spans="1:24" x14ac:dyDescent="0.25">
      <c r="A235" t="s">
        <v>242</v>
      </c>
      <c r="B235">
        <f>_xll.BDP(A235&amp;" AB Equity","LAST_PRICE")</f>
        <v>124.3</v>
      </c>
      <c r="C235">
        <f>_xll.BDP(A235&amp;" AB Equity","LAST_PRICE")</f>
        <v>124.3</v>
      </c>
      <c r="D235">
        <f>_xll.BDP(A235&amp;" AB Equity","RT_PX_CHG_PCT_1D")</f>
        <v>-0.63950002193450928</v>
      </c>
      <c r="E235">
        <f>_xll.BDP(A235&amp;" AB Equity","CHG_PCT_1M_RT")</f>
        <v>-1.7391000000000001</v>
      </c>
      <c r="F235">
        <f>_xll.BDP(A235&amp;" AB Equity","CHG_PCT_YTD_RT")</f>
        <v>29.277200000000001</v>
      </c>
      <c r="G235">
        <f>_xll.BDP(A235&amp;" AB Equity","YEST_LAST_TRADE")</f>
        <v>125.1</v>
      </c>
      <c r="H235">
        <f>_xll.BDP(A235&amp;" AB Equity","HIGH_52WEEK")</f>
        <v>131.19999999999999</v>
      </c>
      <c r="I235">
        <f>_xll.BDP(A235&amp;" AB Equity","LOW_52WEEK")</f>
        <v>81.3</v>
      </c>
      <c r="J235">
        <f>_xll.BDP(A235&amp;" AB Equity","VOLUME")</f>
        <v>257604</v>
      </c>
      <c r="K235">
        <f>_xll.BDP(A235&amp;" AB Equity","OPEN")</f>
        <v>125.1</v>
      </c>
      <c r="L235">
        <f>_xll.BDP(A235&amp;" AB Equity","LOW")</f>
        <v>122.9</v>
      </c>
      <c r="M235">
        <f>_xll.BDP(A235&amp;" AB Equity","HIGH")</f>
        <v>126.2</v>
      </c>
      <c r="N235">
        <f>_xll.BDP(A235&amp;" AB Equity","VWAP")</f>
        <v>124.00360000000001</v>
      </c>
      <c r="O235" t="str">
        <f>_xll.BDP(A235&amp;" AB Equity","SAUDI_ARABIA_EXCHANGE_ID")</f>
        <v>2223</v>
      </c>
      <c r="P235">
        <f>_xll.BDP(A235&amp;" AB Equity","VOLUME_AVG_30D")</f>
        <v>481796.7</v>
      </c>
      <c r="Q235">
        <f>_xll.BDP(A235&amp;" AB Equity","BID")</f>
        <v>124.1</v>
      </c>
      <c r="R235">
        <f>_xll.BDP(A235&amp;" AB Equity","ASK")</f>
        <v>124.3</v>
      </c>
      <c r="S235">
        <f>_xll.BDP(A235&amp;" AB Equity","CHG_PCT_MOV_AVG_200D")</f>
        <v>21.90185</v>
      </c>
      <c r="T235">
        <f>_xll.BDP(A235&amp;" AB Equity","HIGH_30D")</f>
        <v>131.19999999999999</v>
      </c>
      <c r="U235">
        <f>_xll.BDP(A235&amp;" AB Equity","LOW_30D")</f>
        <v>116.4</v>
      </c>
      <c r="V235" s="11" t="str" cm="1">
        <f t="array" aca="1" ref="V235" ca="1">_xll.BDH(A235&amp;" AB Equity","MOV_AVG_200D",TODAY()-32,TODAY()-32,"Days=T")</f>
        <v>#N/A N/A</v>
      </c>
      <c r="W235">
        <v>95.209299999999999</v>
      </c>
      <c r="X235">
        <f>IF(B235="","",_xlfn.SINGLE(_xll.BDP(A235&amp;" AB Equity","MOV_AVG_200D")))</f>
        <v>101.8852</v>
      </c>
    </row>
    <row r="236" spans="1:24" x14ac:dyDescent="0.25">
      <c r="A236" t="s">
        <v>243</v>
      </c>
      <c r="B236">
        <f>_xll.BDP(A236&amp;" AB Equity","LAST_PRICE")</f>
        <v>14.31</v>
      </c>
      <c r="C236">
        <f>_xll.BDP(A236&amp;" AB Equity","LAST_PRICE")</f>
        <v>14.31</v>
      </c>
      <c r="D236">
        <f>_xll.BDP(A236&amp;" AB Equity","RT_PX_CHG_PCT_1D")</f>
        <v>-0.625</v>
      </c>
      <c r="E236">
        <f>_xll.BDP(A236&amp;" AB Equity","CHG_PCT_1M_RT")</f>
        <v>-3.18</v>
      </c>
      <c r="F236">
        <f>_xll.BDP(A236&amp;" AB Equity","CHG_PCT_YTD_RT")</f>
        <v>-4.5999999999999996</v>
      </c>
      <c r="G236">
        <f>_xll.BDP(A236&amp;" AB Equity","YEST_LAST_TRADE")</f>
        <v>14.4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1423177</v>
      </c>
      <c r="K236">
        <f>_xll.BDP(A236&amp;" AB Equity","OPEN")</f>
        <v>14.37</v>
      </c>
      <c r="L236">
        <f>_xll.BDP(A236&amp;" AB Equity","LOW")</f>
        <v>14.2</v>
      </c>
      <c r="M236">
        <f>_xll.BDP(A236&amp;" AB Equity","HIGH")</f>
        <v>14.62</v>
      </c>
      <c r="N236">
        <f>_xll.BDP(A236&amp;" AB Equity","VWAP")</f>
        <v>14.3781</v>
      </c>
      <c r="O236" t="str">
        <f>_xll.BDP(A236&amp;" AB Equity","SAUDI_ARABIA_EXCHANGE_ID")</f>
        <v>2310</v>
      </c>
      <c r="P236">
        <f>_xll.BDP(A236&amp;" AB Equity","VOLUME_AVG_30D")</f>
        <v>1722360</v>
      </c>
      <c r="Q236">
        <f>_xll.BDP(A236&amp;" AB Equity","BID")</f>
        <v>14.31</v>
      </c>
      <c r="R236">
        <f>_xll.BDP(A236&amp;" AB Equity","ASK")</f>
        <v>14.37</v>
      </c>
      <c r="S236">
        <f>_xll.BDP(A236&amp;" AB Equity","CHG_PCT_MOV_AVG_200D")</f>
        <v>-11.53659</v>
      </c>
      <c r="T236">
        <f>_xll.BDP(A236&amp;" AB Equity","HIGH_30D")</f>
        <v>16.2</v>
      </c>
      <c r="U236">
        <f>_xll.BDP(A236&amp;" AB Equity","LOW_30D")</f>
        <v>13.82</v>
      </c>
      <c r="V236" s="11" t="str" cm="1">
        <f t="array" aca="1" ref="V236" ca="1">_xll.BDH(A236&amp;" AB Equity","MOV_AVG_200D",TODAY()-32,TODAY()-32,"Days=T")</f>
        <v>#N/A N/A</v>
      </c>
      <c r="W236">
        <v>95.280299999999997</v>
      </c>
      <c r="X236">
        <f>IF(B236="","",_xlfn.SINGLE(_xll.BDP(A236&amp;" AB Equity","MOV_AVG_200D")))</f>
        <v>16.232700000000001</v>
      </c>
    </row>
    <row r="237" spans="1:24" x14ac:dyDescent="0.25">
      <c r="A237" t="s">
        <v>244</v>
      </c>
      <c r="B237">
        <f>_xll.BDP(A237&amp;" AB Equity","LAST_PRICE")</f>
        <v>27</v>
      </c>
      <c r="C237">
        <f>_xll.BDP(A237&amp;" AB Equity","LAST_PRICE")</f>
        <v>27</v>
      </c>
      <c r="D237">
        <f>_xll.BDP(A237&amp;" AB Equity","RT_PX_CHG_PCT_1D")</f>
        <v>-0.14790000021457672</v>
      </c>
      <c r="E237">
        <f>_xll.BDP(A237&amp;" AB Equity","CHG_PCT_1M_RT")</f>
        <v>-5.3296000000000001</v>
      </c>
      <c r="F237">
        <f>_xll.BDP(A237&amp;" AB Equity","CHG_PCT_YTD_RT")</f>
        <v>-7.3999999999999996E-2</v>
      </c>
      <c r="G237">
        <f>_xll.BDP(A237&amp;" AB Equity","YEST_LAST_TRADE")</f>
        <v>27.04</v>
      </c>
      <c r="H237">
        <f>_xll.BDP(A237&amp;" AB Equity","HIGH_52WEEK")</f>
        <v>38.299999999999997</v>
      </c>
      <c r="I237">
        <f>_xll.BDP(A237&amp;" AB Equity","LOW_52WEEK")</f>
        <v>20.41</v>
      </c>
      <c r="J237">
        <f>_xll.BDP(A237&amp;" AB Equity","VOLUME")</f>
        <v>325798</v>
      </c>
      <c r="K237">
        <f>_xll.BDP(A237&amp;" AB Equity","OPEN")</f>
        <v>27.04</v>
      </c>
      <c r="L237">
        <f>_xll.BDP(A237&amp;" AB Equity","LOW")</f>
        <v>26.86</v>
      </c>
      <c r="M237">
        <f>_xll.BDP(A237&amp;" AB Equity","HIGH")</f>
        <v>27.44</v>
      </c>
      <c r="N237">
        <f>_xll.BDP(A237&amp;" AB Equity","VWAP")</f>
        <v>27.0379</v>
      </c>
      <c r="O237" t="str">
        <f>_xll.BDP(A237&amp;" AB Equity","SAUDI_ARABIA_EXCHANGE_ID")</f>
        <v>2170</v>
      </c>
      <c r="P237">
        <f>_xll.BDP(A237&amp;" AB Equity","VOLUME_AVG_30D")</f>
        <v>421910.1</v>
      </c>
      <c r="Q237">
        <f>_xll.BDP(A237&amp;" AB Equity","BID")</f>
        <v>26.94</v>
      </c>
      <c r="R237">
        <f>_xll.BDP(A237&amp;" AB Equity","ASK")</f>
        <v>27</v>
      </c>
      <c r="S237">
        <f>_xll.BDP(A237&amp;" AB Equity","CHG_PCT_MOV_AVG_200D")</f>
        <v>-6.3977120000000003</v>
      </c>
      <c r="T237">
        <f>_xll.BDP(A237&amp;" AB Equity","HIGH_30D")</f>
        <v>29.74</v>
      </c>
      <c r="U237">
        <f>_xll.BDP(A237&amp;" AB Equity","LOW_30D")</f>
        <v>26.92</v>
      </c>
      <c r="V237" s="11" t="str" cm="1">
        <f t="array" aca="1" ref="V237" ca="1">_xll.BDH(A237&amp;" AB Equity","MOV_AVG_200D",TODAY()-32,TODAY()-32,"Days=T")</f>
        <v>#N/A N/A</v>
      </c>
      <c r="W237">
        <v>95.339799999999997</v>
      </c>
      <c r="X237">
        <f>IF(B237="","",_xlfn.SINGLE(_xll.BDP(A237&amp;" AB Equity","MOV_AVG_200D")))</f>
        <v>28.909549999999999</v>
      </c>
    </row>
    <row r="238" spans="1:24" x14ac:dyDescent="0.25">
      <c r="A238" t="s">
        <v>245</v>
      </c>
      <c r="B238">
        <f>_xll.BDP(A238&amp;" AB Equity","LAST_PRICE")</f>
        <v>123.8</v>
      </c>
      <c r="C238">
        <f>_xll.BDP(A238&amp;" AB Equity","LAST_PRICE")</f>
        <v>123.8</v>
      </c>
      <c r="D238">
        <f>_xll.BDP(A238&amp;" AB Equity","RT_PX_CHG_PCT_1D")</f>
        <v>0.97879999876022339</v>
      </c>
      <c r="E238">
        <f>_xll.BDP(A238&amp;" AB Equity","CHG_PCT_1M_RT")</f>
        <v>-10.289899999999999</v>
      </c>
      <c r="F238">
        <f>_xll.BDP(A238&amp;" AB Equity","CHG_PCT_YTD_RT")</f>
        <v>11.8338</v>
      </c>
      <c r="G238">
        <f>_xll.BDP(A238&amp;" AB Equity","YEST_LAST_TRADE")</f>
        <v>122.6</v>
      </c>
      <c r="H238">
        <f>_xll.BDP(A238&amp;" AB Equity","HIGH_52WEEK")</f>
        <v>159.30000000000001</v>
      </c>
      <c r="I238">
        <f>_xll.BDP(A238&amp;" AB Equity","LOW_52WEEK")</f>
        <v>105.9</v>
      </c>
      <c r="J238">
        <f>_xll.BDP(A238&amp;" AB Equity","VOLUME")</f>
        <v>397873</v>
      </c>
      <c r="K238">
        <f>_xll.BDP(A238&amp;" AB Equity","OPEN")</f>
        <v>122.5</v>
      </c>
      <c r="L238">
        <f>_xll.BDP(A238&amp;" AB Equity","LOW")</f>
        <v>122.2</v>
      </c>
      <c r="M238">
        <f>_xll.BDP(A238&amp;" AB Equity","HIGH")</f>
        <v>123.8</v>
      </c>
      <c r="N238">
        <f>_xll.BDP(A238&amp;" AB Equity","VWAP")</f>
        <v>123.14570000000001</v>
      </c>
      <c r="O238" t="str">
        <f>_xll.BDP(A238&amp;" AB Equity","SAUDI_ARABIA_EXCHANGE_ID")</f>
        <v>2020</v>
      </c>
      <c r="P238">
        <f>_xll.BDP(A238&amp;" AB Equity","VOLUME_AVG_30D")</f>
        <v>554572.80000000005</v>
      </c>
      <c r="Q238">
        <f>_xll.BDP(A238&amp;" AB Equity","BID")</f>
        <v>122.8</v>
      </c>
      <c r="R238">
        <f>_xll.BDP(A238&amp;" AB Equity","ASK")</f>
        <v>123.8</v>
      </c>
      <c r="S238">
        <f>_xll.BDP(A238&amp;" AB Equity","CHG_PCT_MOV_AVG_200D")</f>
        <v>-3.1882320000000002</v>
      </c>
      <c r="T238">
        <f>_xll.BDP(A238&amp;" AB Equity","HIGH_30D")</f>
        <v>148</v>
      </c>
      <c r="U238">
        <f>_xll.BDP(A238&amp;" AB Equity","LOW_30D")</f>
        <v>122.3</v>
      </c>
      <c r="V238" s="11" t="str" cm="1">
        <f t="array" aca="1" ref="V238" ca="1">_xll.BDH(A238&amp;" AB Equity","MOV_AVG_200D",TODAY()-32,TODAY()-32,"Days=T")</f>
        <v>#N/A N/A</v>
      </c>
      <c r="W238">
        <v>95.406700000000001</v>
      </c>
      <c r="X238">
        <f>IF(B238="","",_xlfn.SINGLE(_xll.BDP(A238&amp;" AB Equity","MOV_AVG_200D")))</f>
        <v>126.6375</v>
      </c>
    </row>
    <row r="239" spans="1:24" x14ac:dyDescent="0.25">
      <c r="A239" t="s">
        <v>410</v>
      </c>
      <c r="B239">
        <f>_xll.BDP(A239&amp;" AB Equity","LAST_PRICE")</f>
        <v>42.98</v>
      </c>
      <c r="C239">
        <f>_xll.BDP(A239&amp;" AB Equity","LAST_PRICE")</f>
        <v>42.98</v>
      </c>
      <c r="D239">
        <f>_xll.BDP(A239&amp;" AB Equity","RT_PX_CHG_PCT_1D")</f>
        <v>-0.13940000534057617</v>
      </c>
      <c r="E239">
        <f>_xll.BDP(A239&amp;" AB Equity","CHG_PCT_1M_RT")</f>
        <v>-8.7472999999999992</v>
      </c>
      <c r="F239" t="str">
        <f>_xll.BDP(A239&amp;" AB Equity","CHG_PCT_YTD_RT")</f>
        <v>#N/A N/A</v>
      </c>
      <c r="G239">
        <f>_xll.BDP(A239&amp;" AB Equity","YEST_LAST_TRADE")</f>
        <v>43.04</v>
      </c>
      <c r="H239">
        <f>_xll.BDP(A239&amp;" AB Equity","HIGH_52WEEK")</f>
        <v>72.150000000000006</v>
      </c>
      <c r="I239">
        <f>_xll.BDP(A239&amp;" AB Equity","LOW_52WEEK")</f>
        <v>42.82</v>
      </c>
      <c r="J239">
        <f>_xll.BDP(A239&amp;" AB Equity","VOLUME")</f>
        <v>213454</v>
      </c>
      <c r="K239">
        <f>_xll.BDP(A239&amp;" AB Equity","OPEN")</f>
        <v>42.92</v>
      </c>
      <c r="L239">
        <f>_xll.BDP(A239&amp;" AB Equity","LOW")</f>
        <v>42.9</v>
      </c>
      <c r="M239">
        <f>_xll.BDP(A239&amp;" AB Equity","HIGH")</f>
        <v>44.06</v>
      </c>
      <c r="N239">
        <f>_xll.BDP(A239&amp;" AB Equity","VWAP")</f>
        <v>43.226199999999999</v>
      </c>
      <c r="O239" t="str">
        <f>_xll.BDP(A239&amp;" AB Equity","SAUDI_ARABIA_EXCHANGE_ID")</f>
        <v>1324</v>
      </c>
      <c r="P239">
        <f>_xll.BDP(A239&amp;" AB Equity","VOLUME_AVG_30D")</f>
        <v>383183.5</v>
      </c>
      <c r="Q239">
        <f>_xll.BDP(A239&amp;" AB Equity","BID")</f>
        <v>42.96</v>
      </c>
      <c r="R239">
        <f>_xll.BDP(A239&amp;" AB Equity","ASK")</f>
        <v>42.98</v>
      </c>
      <c r="S239" t="str">
        <f>_xll.BDP(A239&amp;" AB Equity","CHG_PCT_MOV_AVG_200D")</f>
        <v>#N/A N/A</v>
      </c>
      <c r="T239">
        <f>_xll.BDP(A239&amp;" AB Equity","HIGH_30D")</f>
        <v>56.2</v>
      </c>
      <c r="U239">
        <f>_xll.BDP(A239&amp;" AB Equity","LOW_30D")</f>
        <v>42.82</v>
      </c>
      <c r="V239" s="11" t="str" cm="1">
        <f t="array" aca="1" ref="V239" ca="1">_xll.BDH(A239&amp;" AB Equity","MOV_AVG_200D",TODAY()-32,TODAY()-32,"Days=T")</f>
        <v>#N/A N/A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18.2</v>
      </c>
      <c r="C241">
        <f>_xll.BDP(A241&amp;" AB Equity","LAST_PRICE")</f>
        <v>18.2</v>
      </c>
      <c r="D241">
        <f>_xll.BDP(A241&amp;" AB Equity","RT_PX_CHG_PCT_1D")</f>
        <v>9.9697999954223633</v>
      </c>
      <c r="E241">
        <f>_xll.BDP(A241&amp;" AB Equity","CHG_PCT_1M_RT")</f>
        <v>20.45</v>
      </c>
      <c r="F241">
        <f>_xll.BDP(A241&amp;" AB Equity","CHG_PCT_YTD_RT")</f>
        <v>11.6564</v>
      </c>
      <c r="G241">
        <f>_xll.BDP(A241&amp;" AB Equity","YEST_LAST_TRADE")</f>
        <v>16.55</v>
      </c>
      <c r="H241">
        <f>_xll.BDP(A241&amp;" AB Equity","HIGH_52WEEK")</f>
        <v>30.992000000000001</v>
      </c>
      <c r="I241">
        <f>_xll.BDP(A241&amp;" AB Equity","LOW_52WEEK")</f>
        <v>13.9</v>
      </c>
      <c r="J241">
        <f>_xll.BDP(A241&amp;" AB Equity","VOLUME")</f>
        <v>1606391</v>
      </c>
      <c r="K241">
        <f>_xll.BDP(A241&amp;" AB Equity","OPEN")</f>
        <v>16.739999999999998</v>
      </c>
      <c r="L241">
        <f>_xll.BDP(A241&amp;" AB Equity","LOW")</f>
        <v>16.55</v>
      </c>
      <c r="M241">
        <f>_xll.BDP(A241&amp;" AB Equity","HIGH")</f>
        <v>18.2</v>
      </c>
      <c r="N241">
        <f>_xll.BDP(A241&amp;" AB Equity","VWAP")</f>
        <v>17.9435</v>
      </c>
      <c r="O241" t="str">
        <f>_xll.BDP(A241&amp;" AB Equity","SAUDI_ARABIA_EXCHANGE_ID")</f>
        <v>4070</v>
      </c>
      <c r="P241">
        <f>_xll.BDP(A241&amp;" AB Equity","VOLUME_AVG_30D")</f>
        <v>168044.2</v>
      </c>
      <c r="Q241">
        <f>_xll.BDP(A241&amp;" AB Equity","BID")</f>
        <v>18.18</v>
      </c>
      <c r="R241">
        <f>_xll.BDP(A241&amp;" AB Equity","ASK")</f>
        <v>18.2</v>
      </c>
      <c r="S241">
        <f>_xll.BDP(A241&amp;" AB Equity","CHG_PCT_MOV_AVG_200D")</f>
        <v>-11.04626</v>
      </c>
      <c r="T241">
        <f>_xll.BDP(A241&amp;" AB Equity","HIGH_30D")</f>
        <v>17.36</v>
      </c>
      <c r="U241">
        <f>_xll.BDP(A241&amp;" AB Equity","LOW_30D")</f>
        <v>13.94</v>
      </c>
      <c r="V241" s="11" t="str" cm="1">
        <f t="array" aca="1" ref="V241" ca="1">_xll.BDH(A241&amp;" AB Equity","MOV_AVG_200D",TODAY()-32,TODAY()-32,"Days=T")</f>
        <v>#N/A N/A</v>
      </c>
      <c r="W241">
        <v>31.0319</v>
      </c>
      <c r="X241">
        <f>IF(B241="","",_xlfn.SINGLE(_xll.BDP(A241&amp;" AB Equity","MOV_AVG_200D")))</f>
        <v>18.80753</v>
      </c>
    </row>
    <row r="242" spans="1:24" x14ac:dyDescent="0.25">
      <c r="A242" t="s">
        <v>248</v>
      </c>
      <c r="B242">
        <f>_xll.BDP(A242&amp;" AB Equity","LAST_PRICE")</f>
        <v>71</v>
      </c>
      <c r="C242">
        <f>_xll.BDP(A242&amp;" AB Equity","LAST_PRICE")</f>
        <v>71</v>
      </c>
      <c r="D242">
        <f>_xll.BDP(A242&amp;" AB Equity","RT_PX_CHG_PCT_1D")</f>
        <v>-0.83799999952316284</v>
      </c>
      <c r="E242">
        <f>_xll.BDP(A242&amp;" AB Equity","CHG_PCT_1M_RT")</f>
        <v>-6.3941999999999997</v>
      </c>
      <c r="F242">
        <f>_xll.BDP(A242&amp;" AB Equity","CHG_PCT_YTD_RT")</f>
        <v>-42.971899999999998</v>
      </c>
      <c r="G242">
        <f>_xll.BDP(A242&amp;" AB Equity","YEST_LAST_TRADE")</f>
        <v>71.599999999999994</v>
      </c>
      <c r="H242">
        <f>_xll.BDP(A242&amp;" AB Equity","HIGH_52WEEK")</f>
        <v>202.1</v>
      </c>
      <c r="I242">
        <f>_xll.BDP(A242&amp;" AB Equity","LOW_52WEEK")</f>
        <v>70.5</v>
      </c>
      <c r="J242">
        <f>_xll.BDP(A242&amp;" AB Equity","VOLUME")</f>
        <v>276371</v>
      </c>
      <c r="K242">
        <f>_xll.BDP(A242&amp;" AB Equity","OPEN")</f>
        <v>71.95</v>
      </c>
      <c r="L242">
        <f>_xll.BDP(A242&amp;" AB Equity","LOW")</f>
        <v>71</v>
      </c>
      <c r="M242">
        <f>_xll.BDP(A242&amp;" AB Equity","HIGH")</f>
        <v>72.8</v>
      </c>
      <c r="N242">
        <f>_xll.BDP(A242&amp;" AB Equity","VWAP")</f>
        <v>71.565100000000001</v>
      </c>
      <c r="O242" t="str">
        <f>_xll.BDP(A242&amp;" AB Equity","SAUDI_ARABIA_EXCHANGE_ID")</f>
        <v>4210</v>
      </c>
      <c r="P242">
        <f>_xll.BDP(A242&amp;" AB Equity","VOLUME_AVG_30D")</f>
        <v>186657.4</v>
      </c>
      <c r="Q242">
        <f>_xll.BDP(A242&amp;" AB Equity","BID")</f>
        <v>70.95</v>
      </c>
      <c r="R242">
        <f>_xll.BDP(A242&amp;" AB Equity","ASK")</f>
        <v>71</v>
      </c>
      <c r="S242">
        <f>_xll.BDP(A242&amp;" AB Equity","CHG_PCT_MOV_AVG_200D")</f>
        <v>-41.086309999999997</v>
      </c>
      <c r="T242">
        <f>_xll.BDP(A242&amp;" AB Equity","HIGH_30D")</f>
        <v>85.85</v>
      </c>
      <c r="U242">
        <f>_xll.BDP(A242&amp;" AB Equity","LOW_30D")</f>
        <v>71.3</v>
      </c>
      <c r="V242" s="11" t="str" cm="1">
        <f t="array" aca="1" ref="V242" ca="1">_xll.BDH(A242&amp;" AB Equity","MOV_AVG_200D",TODAY()-32,TODAY()-32,"Days=T")</f>
        <v>#N/A N/A</v>
      </c>
      <c r="W242">
        <v>30.984300000000001</v>
      </c>
      <c r="X242">
        <f>IF(B242="","",_xlfn.SINGLE(_xll.BDP(A242&amp;" AB Equity","MOV_AVG_200D")))</f>
        <v>121.0245</v>
      </c>
    </row>
    <row r="243" spans="1:24" x14ac:dyDescent="0.25">
      <c r="A243" t="s">
        <v>249</v>
      </c>
      <c r="B243">
        <f>_xll.BDP(A243&amp;" AB Equity","LAST_PRICE")</f>
        <v>22.85</v>
      </c>
      <c r="C243">
        <f>_xll.BDP(A243&amp;" AB Equity","LAST_PRICE")</f>
        <v>22.85</v>
      </c>
      <c r="D243">
        <f>_xll.BDP(A243&amp;" AB Equity","RT_PX_CHG_PCT_1D")</f>
        <v>-0.91070002317428589</v>
      </c>
      <c r="E243">
        <f>_xll.BDP(A243&amp;" AB Equity","CHG_PCT_1M_RT")</f>
        <v>-8.6</v>
      </c>
      <c r="F243">
        <f>_xll.BDP(A243&amp;" AB Equity","CHG_PCT_YTD_RT")</f>
        <v>-27.689900000000002</v>
      </c>
      <c r="G243">
        <f>_xll.BDP(A243&amp;" AB Equity","YEST_LAST_TRADE")</f>
        <v>23.06</v>
      </c>
      <c r="H243">
        <f>_xll.BDP(A243&amp;" AB Equity","HIGH_52WEEK")</f>
        <v>38</v>
      </c>
      <c r="I243">
        <f>_xll.BDP(A243&amp;" AB Equity","LOW_52WEEK")</f>
        <v>22.78</v>
      </c>
      <c r="J243">
        <f>_xll.BDP(A243&amp;" AB Equity","VOLUME")</f>
        <v>224877</v>
      </c>
      <c r="K243">
        <f>_xll.BDP(A243&amp;" AB Equity","OPEN")</f>
        <v>22.9</v>
      </c>
      <c r="L243">
        <f>_xll.BDP(A243&amp;" AB Equity","LOW")</f>
        <v>22.78</v>
      </c>
      <c r="M243">
        <f>_xll.BDP(A243&amp;" AB Equity","HIGH")</f>
        <v>23.22</v>
      </c>
      <c r="N243">
        <f>_xll.BDP(A243&amp;" AB Equity","VWAP")</f>
        <v>22.900500000000001</v>
      </c>
      <c r="O243" t="str">
        <f>_xll.BDP(A243&amp;" AB Equity","SAUDI_ARABIA_EXCHANGE_ID")</f>
        <v>4072</v>
      </c>
      <c r="P243">
        <f>_xll.BDP(A243&amp;" AB Equity","VOLUME_AVG_30D")</f>
        <v>165602.5</v>
      </c>
      <c r="Q243">
        <f>_xll.BDP(A243&amp;" AB Equity","BID")</f>
        <v>22.84</v>
      </c>
      <c r="R243">
        <f>_xll.BDP(A243&amp;" AB Equity","ASK")</f>
        <v>22.85</v>
      </c>
      <c r="S243">
        <f>_xll.BDP(A243&amp;" AB Equity","CHG_PCT_MOV_AVG_200D")</f>
        <v>-22.803550000000001</v>
      </c>
      <c r="T243">
        <f>_xll.BDP(A243&amp;" AB Equity","HIGH_30D")</f>
        <v>25.88</v>
      </c>
      <c r="U243">
        <f>_xll.BDP(A243&amp;" AB Equity","LOW_30D")</f>
        <v>22.95</v>
      </c>
      <c r="V243" s="11" t="str" cm="1">
        <f t="array" aca="1" ref="V243" ca="1">_xll.BDH(A243&amp;" AB Equity","MOV_AVG_200D",TODAY()-32,TODAY()-32,"Days=T")</f>
        <v>#N/A N/A</v>
      </c>
      <c r="W243">
        <v>121.569</v>
      </c>
      <c r="X243">
        <f>IF(B243="","",_xlfn.SINGLE(_xll.BDP(A243&amp;" AB Equity","MOV_AVG_200D")))</f>
        <v>29.573899999999998</v>
      </c>
    </row>
    <row r="244" spans="1:24" x14ac:dyDescent="0.25">
      <c r="A244" t="s">
        <v>250</v>
      </c>
      <c r="B244">
        <f>_xll.BDP(A244&amp;" AB Equity","LAST_PRICE")</f>
        <v>90.2</v>
      </c>
      <c r="C244">
        <f>_xll.BDP(A244&amp;" AB Equity","LAST_PRICE")</f>
        <v>90.2</v>
      </c>
      <c r="D244">
        <f>_xll.BDP(A244&amp;" AB Equity","RT_PX_CHG_PCT_1D")</f>
        <v>0.44539999961853027</v>
      </c>
      <c r="E244">
        <f>_xll.BDP(A244&amp;" AB Equity","CHG_PCT_1M_RT")</f>
        <v>-5.5496999999999996</v>
      </c>
      <c r="F244">
        <f>_xll.BDP(A244&amp;" AB Equity","CHG_PCT_YTD_RT")</f>
        <v>-21.972300000000001</v>
      </c>
      <c r="G244">
        <f>_xll.BDP(A244&amp;" AB Equity","YEST_LAST_TRADE")</f>
        <v>89.8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120544</v>
      </c>
      <c r="K244">
        <f>_xll.BDP(A244&amp;" AB Equity","OPEN")</f>
        <v>89.8</v>
      </c>
      <c r="L244">
        <f>_xll.BDP(A244&amp;" AB Equity","LOW")</f>
        <v>89.5</v>
      </c>
      <c r="M244">
        <f>_xll.BDP(A244&amp;" AB Equity","HIGH")</f>
        <v>93</v>
      </c>
      <c r="N244">
        <f>_xll.BDP(A244&amp;" AB Equity","VWAP")</f>
        <v>91.634100000000004</v>
      </c>
      <c r="O244" t="str">
        <f>_xll.BDP(A244&amp;" AB Equity","SAUDI_ARABIA_EXCHANGE_ID")</f>
        <v>4071</v>
      </c>
      <c r="P244">
        <f>_xll.BDP(A244&amp;" AB Equity","VOLUME_AVG_30D")</f>
        <v>113536.2</v>
      </c>
      <c r="Q244">
        <f>_xll.BDP(A244&amp;" AB Equity","BID")</f>
        <v>90.2</v>
      </c>
      <c r="R244">
        <f>_xll.BDP(A244&amp;" AB Equity","ASK")</f>
        <v>90.65</v>
      </c>
      <c r="S244">
        <f>_xll.BDP(A244&amp;" AB Equity","CHG_PCT_MOV_AVG_200D")</f>
        <v>-16.209009999999999</v>
      </c>
      <c r="T244">
        <f>_xll.BDP(A244&amp;" AB Equity","HIGH_30D")</f>
        <v>101.4</v>
      </c>
      <c r="U244">
        <f>_xll.BDP(A244&amp;" AB Equity","LOW_30D")</f>
        <v>89</v>
      </c>
      <c r="V244" s="11" t="str" cm="1">
        <f t="array" aca="1" ref="V244" ca="1">_xll.BDH(A244&amp;" AB Equity","MOV_AVG_200D",TODAY()-32,TODAY()-32,"Days=T")</f>
        <v>#N/A N/A</v>
      </c>
      <c r="W244">
        <v>108.1795</v>
      </c>
      <c r="X244">
        <f>IF(B244="","",_xlfn.SINGLE(_xll.BDP(A244&amp;" AB Equity","MOV_AVG_200D")))</f>
        <v>109.61799999999999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28.26</v>
      </c>
      <c r="C246">
        <f>_xll.BDP(A246&amp;" AB Equity","LAST_PRICE")</f>
        <v>28.26</v>
      </c>
      <c r="D246">
        <f>_xll.BDP(A246&amp;" AB Equity","RT_PX_CHG_PCT_1D")</f>
        <v>0.28389999270439148</v>
      </c>
      <c r="E246">
        <f>_xll.BDP(A246&amp;" AB Equity","CHG_PCT_1M_RT")</f>
        <v>-3.8121</v>
      </c>
      <c r="F246">
        <f>_xll.BDP(A246&amp;" AB Equity","CHG_PCT_YTD_RT")</f>
        <v>8.4420999999999999</v>
      </c>
      <c r="G246">
        <f>_xll.BDP(A246&amp;" AB Equity","YEST_LAST_TRADE")</f>
        <v>28.18</v>
      </c>
      <c r="H246">
        <f>_xll.BDP(A246&amp;" AB Equity","HIGH_52WEEK")</f>
        <v>33.119999999999997</v>
      </c>
      <c r="I246">
        <f>_xll.BDP(A246&amp;" AB Equity","LOW_52WEEK")</f>
        <v>24</v>
      </c>
      <c r="J246">
        <f>_xll.BDP(A246&amp;" AB Equity","VOLUME")</f>
        <v>290432</v>
      </c>
      <c r="K246">
        <f>_xll.BDP(A246&amp;" AB Equity","OPEN")</f>
        <v>28.18</v>
      </c>
      <c r="L246">
        <f>_xll.BDP(A246&amp;" AB Equity","LOW")</f>
        <v>28.1</v>
      </c>
      <c r="M246">
        <f>_xll.BDP(A246&amp;" AB Equity","HIGH")</f>
        <v>28.58</v>
      </c>
      <c r="N246">
        <f>_xll.BDP(A246&amp;" AB Equity","VWAP")</f>
        <v>28.361899999999999</v>
      </c>
      <c r="O246" t="str">
        <f>_xll.BDP(A246&amp;" AB Equity","SAUDI_ARABIA_EXCHANGE_ID")</f>
        <v>2070</v>
      </c>
      <c r="P246">
        <f>_xll.BDP(A246&amp;" AB Equity","VOLUME_AVG_30D")</f>
        <v>360058.1</v>
      </c>
      <c r="Q246">
        <f>_xll.BDP(A246&amp;" AB Equity","BID")</f>
        <v>28.22</v>
      </c>
      <c r="R246">
        <f>_xll.BDP(A246&amp;" AB Equity","ASK")</f>
        <v>28.26</v>
      </c>
      <c r="S246">
        <f>_xll.BDP(A246&amp;" AB Equity","CHG_PCT_MOV_AVG_200D")</f>
        <v>-1.160976</v>
      </c>
      <c r="T246">
        <f>_xll.BDP(A246&amp;" AB Equity","HIGH_30D")</f>
        <v>30.04</v>
      </c>
      <c r="U246">
        <f>_xll.BDP(A246&amp;" AB Equity","LOW_30D")</f>
        <v>27.88</v>
      </c>
      <c r="V246" s="11" t="str" cm="1">
        <f t="array" aca="1" ref="V246" ca="1">_xll.BDH(A246&amp;" AB Equity","MOV_AVG_200D",TODAY()-32,TODAY()-32,"Days=T")</f>
        <v>#N/A N/A</v>
      </c>
      <c r="W246">
        <v>108.3725</v>
      </c>
      <c r="X246">
        <f>IF(B246="","",_xlfn.SINGLE(_xll.BDP(A246&amp;" AB Equity","MOV_AVG_200D")))</f>
        <v>28.855</v>
      </c>
    </row>
    <row r="247" spans="1:24" x14ac:dyDescent="0.25">
      <c r="A247" t="s">
        <v>253</v>
      </c>
      <c r="B247">
        <f>_xll.BDP(A247&amp;" AB Equity","LAST_PRICE")</f>
        <v>60.5</v>
      </c>
      <c r="C247">
        <f>_xll.BDP(A247&amp;" AB Equity","LAST_PRICE")</f>
        <v>60.5</v>
      </c>
      <c r="D247">
        <f>_xll.BDP(A247&amp;" AB Equity","RT_PX_CHG_PCT_1D")</f>
        <v>2.5423998832702637</v>
      </c>
      <c r="E247">
        <f>_xll.BDP(A247&amp;" AB Equity","CHG_PCT_1M_RT")</f>
        <v>1.7662</v>
      </c>
      <c r="F247">
        <f>_xll.BDP(A247&amp;" AB Equity","CHG_PCT_YTD_RT")</f>
        <v>-4.7888999999999999</v>
      </c>
      <c r="G247">
        <f>_xll.BDP(A247&amp;" AB Equity","YEST_LAST_TRADE")</f>
        <v>59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120173</v>
      </c>
      <c r="K247">
        <f>_xll.BDP(A247&amp;" AB Equity","OPEN")</f>
        <v>60.85</v>
      </c>
      <c r="L247">
        <f>_xll.BDP(A247&amp;" AB Equity","LOW")</f>
        <v>59.55</v>
      </c>
      <c r="M247">
        <f>_xll.BDP(A247&amp;" AB Equity","HIGH")</f>
        <v>61.35</v>
      </c>
      <c r="N247">
        <f>_xll.BDP(A247&amp;" AB Equity","VWAP")</f>
        <v>60.794600000000003</v>
      </c>
      <c r="O247" t="str">
        <f>_xll.BDP(A247&amp;" AB Equity","SAUDI_ARABIA_EXCHANGE_ID")</f>
        <v>4016</v>
      </c>
      <c r="P247">
        <f>_xll.BDP(A247&amp;" AB Equity","VOLUME_AVG_30D")</f>
        <v>153561.1</v>
      </c>
      <c r="Q247">
        <f>_xll.BDP(A247&amp;" AB Equity","BID")</f>
        <v>60.5</v>
      </c>
      <c r="R247">
        <f>_xll.BDP(A247&amp;" AB Equity","ASK")</f>
        <v>60.8</v>
      </c>
      <c r="S247">
        <f>_xll.BDP(A247&amp;" AB Equity","CHG_PCT_MOV_AVG_200D")</f>
        <v>-6.1883330000000001</v>
      </c>
      <c r="T247">
        <f>_xll.BDP(A247&amp;" AB Equity","HIGH_30D")</f>
        <v>63.45</v>
      </c>
      <c r="U247">
        <f>_xll.BDP(A247&amp;" AB Equity","LOW_30D")</f>
        <v>56.6</v>
      </c>
      <c r="V247" s="11" t="str" cm="1">
        <f t="array" aca="1" ref="V247" ca="1">_xll.BDH(A247&amp;" AB Equity","MOV_AVG_200D",TODAY()-32,TODAY()-32,"Days=T")</f>
        <v>#N/A N/A</v>
      </c>
      <c r="W247">
        <v>67.758899999999997</v>
      </c>
      <c r="X247">
        <f>IF(B247="","",_xlfn.SINGLE(_xll.BDP(A247&amp;" AB Equity","MOV_AVG_200D")))</f>
        <v>65.023899999999998</v>
      </c>
    </row>
    <row r="248" spans="1:24" x14ac:dyDescent="0.25">
      <c r="A248" t="s">
        <v>254</v>
      </c>
      <c r="B248">
        <f>_xll.BDP(A248&amp;" AB Equity","LAST_PRICE")</f>
        <v>155</v>
      </c>
      <c r="C248">
        <f>_xll.BDP(A248&amp;" AB Equity","LAST_PRICE")</f>
        <v>155</v>
      </c>
      <c r="D248">
        <f>_xll.BDP(A248&amp;" AB Equity","RT_PX_CHG_PCT_1D")</f>
        <v>-0.25740000605583191</v>
      </c>
      <c r="E248">
        <f>_xll.BDP(A248&amp;" AB Equity","CHG_PCT_1M_RT")</f>
        <v>-1.8366</v>
      </c>
      <c r="F248">
        <f>_xll.BDP(A248&amp;" AB Equity","CHG_PCT_YTD_RT")</f>
        <v>8.9247999999999994</v>
      </c>
      <c r="G248">
        <f>_xll.BDP(A248&amp;" AB Equity","YEST_LAST_TRADE")</f>
        <v>155.4</v>
      </c>
      <c r="H248">
        <f>_xll.BDP(A248&amp;" AB Equity","HIGH_52WEEK")</f>
        <v>181.3</v>
      </c>
      <c r="I248">
        <f>_xll.BDP(A248&amp;" AB Equity","LOW_52WEEK")</f>
        <v>125</v>
      </c>
      <c r="J248">
        <f>_xll.BDP(A248&amp;" AB Equity","VOLUME")</f>
        <v>61365</v>
      </c>
      <c r="K248">
        <f>_xll.BDP(A248&amp;" AB Equity","OPEN")</f>
        <v>155.4</v>
      </c>
      <c r="L248">
        <f>_xll.BDP(A248&amp;" AB Equity","LOW")</f>
        <v>154.6</v>
      </c>
      <c r="M248">
        <f>_xll.BDP(A248&amp;" AB Equity","HIGH")</f>
        <v>156.80000000000001</v>
      </c>
      <c r="N248">
        <f>_xll.BDP(A248&amp;" AB Equity","VWAP")</f>
        <v>155.17089999999999</v>
      </c>
      <c r="O248" t="str">
        <f>_xll.BDP(A248&amp;" AB Equity","SAUDI_ARABIA_EXCHANGE_ID")</f>
        <v>4015</v>
      </c>
      <c r="P248">
        <f>_xll.BDP(A248&amp;" AB Equity","VOLUME_AVG_30D")</f>
        <v>37823.230000000003</v>
      </c>
      <c r="Q248">
        <f>_xll.BDP(A248&amp;" AB Equity","BID")</f>
        <v>154.9</v>
      </c>
      <c r="R248">
        <f>_xll.BDP(A248&amp;" AB Equity","ASK")</f>
        <v>155</v>
      </c>
      <c r="S248">
        <f>_xll.BDP(A248&amp;" AB Equity","CHG_PCT_MOV_AVG_200D")</f>
        <v>4.3978400000000004</v>
      </c>
      <c r="T248">
        <f>_xll.BDP(A248&amp;" AB Equity","HIGH_30D")</f>
        <v>163.69999999999999</v>
      </c>
      <c r="U248">
        <f>_xll.BDP(A248&amp;" AB Equity","LOW_30D")</f>
        <v>152.69999999999999</v>
      </c>
      <c r="V248" s="11" t="str" cm="1">
        <f t="array" aca="1" ref="V248" ca="1">_xll.BDH(A248&amp;" AB Equity","MOV_AVG_200D",TODAY()-32,TODAY()-32,"Days=T")</f>
        <v>#N/A N/A</v>
      </c>
      <c r="W248">
        <v>67.718000000000004</v>
      </c>
      <c r="X248">
        <f>IF(B248="","",_xlfn.SINGLE(_xll.BDP(A248&amp;" AB Equity","MOV_AVG_200D")))</f>
        <v>148.47049999999999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12.02</v>
      </c>
      <c r="C250">
        <f>_xll.BDP(A250&amp;" AB Equity","LAST_PRICE")</f>
        <v>12.02</v>
      </c>
      <c r="D250">
        <f>_xll.BDP(A250&amp;" AB Equity","RT_PX_CHG_PCT_1D")</f>
        <v>0.16670000553131104</v>
      </c>
      <c r="E250">
        <f>_xll.BDP(A250&amp;" AB Equity","CHG_PCT_1M_RT")</f>
        <v>-1.4754</v>
      </c>
      <c r="F250">
        <f>_xll.BDP(A250&amp;" AB Equity","CHG_PCT_YTD_RT")</f>
        <v>2.5596999999999999</v>
      </c>
      <c r="G250">
        <f>_xll.BDP(A250&amp;" AB Equity","YEST_LAST_TRADE")</f>
        <v>12</v>
      </c>
      <c r="H250">
        <f>_xll.BDP(A250&amp;" AB Equity","HIGH_52WEEK")</f>
        <v>16.43</v>
      </c>
      <c r="I250">
        <f>_xll.BDP(A250&amp;" AB Equity","LOW_52WEEK")</f>
        <v>10.57</v>
      </c>
      <c r="J250">
        <f>_xll.BDP(A250&amp;" AB Equity","VOLUME")</f>
        <v>228890</v>
      </c>
      <c r="K250">
        <f>_xll.BDP(A250&amp;" AB Equity","OPEN")</f>
        <v>11.98</v>
      </c>
      <c r="L250">
        <f>_xll.BDP(A250&amp;" AB Equity","LOW")</f>
        <v>11.98</v>
      </c>
      <c r="M250">
        <f>_xll.BDP(A250&amp;" AB Equity","HIGH")</f>
        <v>12.11</v>
      </c>
      <c r="N250">
        <f>_xll.BDP(A250&amp;" AB Equity","VWAP")</f>
        <v>12.059200000000001</v>
      </c>
      <c r="O250" t="str">
        <f>_xll.BDP(A250&amp;" AB Equity","SAUDI_ARABIA_EXCHANGE_ID")</f>
        <v>4322</v>
      </c>
      <c r="P250">
        <f>_xll.BDP(A250&amp;" AB Equity","VOLUME_AVG_30D")</f>
        <v>1332515</v>
      </c>
      <c r="Q250">
        <f>_xll.BDP(A250&amp;" AB Equity","BID")</f>
        <v>12.02</v>
      </c>
      <c r="R250">
        <f>_xll.BDP(A250&amp;" AB Equity","ASK")</f>
        <v>12.08</v>
      </c>
      <c r="S250">
        <f>_xll.BDP(A250&amp;" AB Equity","CHG_PCT_MOV_AVG_200D")</f>
        <v>-3.6879689999999998</v>
      </c>
      <c r="T250">
        <f>_xll.BDP(A250&amp;" AB Equity","HIGH_30D")</f>
        <v>13.7</v>
      </c>
      <c r="U250">
        <f>_xll.BDP(A250&amp;" AB Equity","LOW_30D")</f>
        <v>11.75</v>
      </c>
      <c r="V250" s="11" t="str" cm="1">
        <f t="array" aca="1" ref="V250" ca="1">_xll.BDH(A250&amp;" AB Equity","MOV_AVG_200D",TODAY()-32,TODAY()-32,"Days=T")</f>
        <v>#N/A N/A</v>
      </c>
      <c r="W250">
        <v>67.613100000000003</v>
      </c>
      <c r="X250">
        <f>IF(B250="","",_xlfn.SINGLE(_xll.BDP(A250&amp;" AB Equity","MOV_AVG_200D")))</f>
        <v>12.521800000000001</v>
      </c>
    </row>
    <row r="251" spans="1:24" x14ac:dyDescent="0.25">
      <c r="A251" t="s">
        <v>256</v>
      </c>
      <c r="B251">
        <f>_xll.BDP(A251&amp;" AB Equity","LAST_PRICE")</f>
        <v>28.3</v>
      </c>
      <c r="C251">
        <f>_xll.BDP(A251&amp;" AB Equity","LAST_PRICE")</f>
        <v>28.3</v>
      </c>
      <c r="D251">
        <f>_xll.BDP(A251&amp;" AB Equity","RT_PX_CHG_PCT_1D")</f>
        <v>1.0714000463485718</v>
      </c>
      <c r="E251">
        <f>_xll.BDP(A251&amp;" AB Equity","CHG_PCT_1M_RT")</f>
        <v>-2.8159000000000001</v>
      </c>
      <c r="F251">
        <f>_xll.BDP(A251&amp;" AB Equity","CHG_PCT_YTD_RT")</f>
        <v>-11.5625</v>
      </c>
      <c r="G251">
        <f>_xll.BDP(A251&amp;" AB Equity","YEST_LAST_TRADE")</f>
        <v>28</v>
      </c>
      <c r="H251">
        <f>_xll.BDP(A251&amp;" AB Equity","HIGH_52WEEK")</f>
        <v>43.7</v>
      </c>
      <c r="I251">
        <f>_xll.BDP(A251&amp;" AB Equity","LOW_52WEEK")</f>
        <v>24.22</v>
      </c>
      <c r="J251">
        <f>_xll.BDP(A251&amp;" AB Equity","VOLUME")</f>
        <v>112547</v>
      </c>
      <c r="K251">
        <f>_xll.BDP(A251&amp;" AB Equity","OPEN")</f>
        <v>28.02</v>
      </c>
      <c r="L251">
        <f>_xll.BDP(A251&amp;" AB Equity","LOW")</f>
        <v>27.8</v>
      </c>
      <c r="M251">
        <f>_xll.BDP(A251&amp;" AB Equity","HIGH")</f>
        <v>28.56</v>
      </c>
      <c r="N251">
        <f>_xll.BDP(A251&amp;" AB Equity","VWAP")</f>
        <v>28.188600000000001</v>
      </c>
      <c r="O251" t="str">
        <f>_xll.BDP(A251&amp;" AB Equity","SAUDI_ARABIA_EXCHANGE_ID")</f>
        <v>4323</v>
      </c>
      <c r="P251">
        <f>_xll.BDP(A251&amp;" AB Equity","VOLUME_AVG_30D")</f>
        <v>89858.2</v>
      </c>
      <c r="Q251">
        <f>_xll.BDP(A251&amp;" AB Equity","BID")</f>
        <v>28.3</v>
      </c>
      <c r="R251">
        <f>_xll.BDP(A251&amp;" AB Equity","ASK")</f>
        <v>28.38</v>
      </c>
      <c r="S251">
        <f>_xll.BDP(A251&amp;" AB Equity","CHG_PCT_MOV_AVG_200D")</f>
        <v>-13.431319999999999</v>
      </c>
      <c r="T251">
        <f>_xll.BDP(A251&amp;" AB Equity","HIGH_30D")</f>
        <v>30.22</v>
      </c>
      <c r="U251">
        <f>_xll.BDP(A251&amp;" AB Equity","LOW_30D")</f>
        <v>27.6</v>
      </c>
      <c r="V251" s="11" t="str" cm="1">
        <f t="array" aca="1" ref="V251" ca="1">_xll.BDH(A251&amp;" AB Equity","MOV_AVG_200D",TODAY()-32,TODAY()-32,"Days=T")</f>
        <v>#N/A N/A</v>
      </c>
      <c r="W251">
        <v>67.562600000000003</v>
      </c>
      <c r="X251">
        <f>IF(B251="","",_xlfn.SINGLE(_xll.BDP(A251&amp;" AB Equity","MOV_AVG_200D")))</f>
        <v>32.621499999999997</v>
      </c>
    </row>
    <row r="252" spans="1:24" x14ac:dyDescent="0.25">
      <c r="A252" t="s">
        <v>257</v>
      </c>
      <c r="B252">
        <f>_xll.BDP(A252&amp;" AB Equity","LAST_PRICE")</f>
        <v>23.95</v>
      </c>
      <c r="C252">
        <f>_xll.BDP(A252&amp;" AB Equity","LAST_PRICE")</f>
        <v>23.95</v>
      </c>
      <c r="D252">
        <f>_xll.BDP(A252&amp;" AB Equity","RT_PX_CHG_PCT_1D")</f>
        <v>-1.4809000492095947</v>
      </c>
      <c r="E252">
        <f>_xll.BDP(A252&amp;" AB Equity","CHG_PCT_1M_RT")</f>
        <v>1.3971</v>
      </c>
      <c r="F252">
        <f>_xll.BDP(A252&amp;" AB Equity","CHG_PCT_YTD_RT")</f>
        <v>-27.818000000000001</v>
      </c>
      <c r="G252">
        <f>_xll.BDP(A252&amp;" AB Equity","YEST_LAST_TRADE")</f>
        <v>24.31</v>
      </c>
      <c r="H252">
        <f>_xll.BDP(A252&amp;" AB Equity","HIGH_52WEEK")</f>
        <v>49.94</v>
      </c>
      <c r="I252">
        <f>_xll.BDP(A252&amp;" AB Equity","LOW_52WEEK")</f>
        <v>19.3</v>
      </c>
      <c r="J252">
        <v>4265</v>
      </c>
      <c r="K252">
        <f>_xll.BDP(A252&amp;" AB Equity","OPEN")</f>
        <v>24.4</v>
      </c>
      <c r="L252">
        <f>_xll.BDP(A252&amp;" AB Equity","LOW")</f>
        <v>23.74</v>
      </c>
      <c r="M252">
        <f>_xll.BDP(A252&amp;" AB Equity","HIGH")</f>
        <v>24.45</v>
      </c>
      <c r="N252">
        <f>_xll.BDP(A252&amp;" AB Equity","VWAP")</f>
        <v>24.036300000000001</v>
      </c>
      <c r="O252" t="str">
        <f>_xll.BDP(A252&amp;" AB Equity","SAUDI_ARABIA_EXCHANGE_ID")</f>
        <v>4230</v>
      </c>
      <c r="P252">
        <f>_xll.BDP(A252&amp;" AB Equity","VOLUME_AVG_30D")</f>
        <v>1094724</v>
      </c>
      <c r="Q252">
        <f>_xll.BDP(A252&amp;" AB Equity","BID")</f>
        <v>23.95</v>
      </c>
      <c r="R252">
        <f>_xll.BDP(A252&amp;" AB Equity","ASK")</f>
        <v>23.96</v>
      </c>
      <c r="S252">
        <f>_xll.BDP(A252&amp;" AB Equity","CHG_PCT_MOV_AVG_200D")</f>
        <v>-21.645890000000001</v>
      </c>
      <c r="T252">
        <f>_xll.BDP(A252&amp;" AB Equity","HIGH_30D")</f>
        <v>26.98</v>
      </c>
      <c r="U252">
        <f>_xll.BDP(A252&amp;" AB Equity","LOW_30D")</f>
        <v>21.91</v>
      </c>
      <c r="V252" s="11" t="str" cm="1">
        <f t="array" aca="1" ref="V252" ca="1">_xll.BDH(A252&amp;" AB Equity","MOV_AVG_200D",TODAY()-32,TODAY()-32,"Days=T")</f>
        <v>#N/A N/A</v>
      </c>
      <c r="W252">
        <v>67.511099999999999</v>
      </c>
      <c r="X252">
        <f>IF(B252="","",_xlfn.SINGLE(_xll.BDP(A252&amp;" AB Equity","MOV_AVG_200D")))</f>
        <v>30.80885</v>
      </c>
    </row>
    <row r="253" spans="1:24" x14ac:dyDescent="0.25">
      <c r="A253" t="s">
        <v>258</v>
      </c>
      <c r="B253">
        <f>_xll.BDP(A253&amp;" AB Equity","LAST_PRICE")</f>
        <v>18</v>
      </c>
      <c r="C253">
        <f>_xll.BDP(A253&amp;" AB Equity","LAST_PRICE")</f>
        <v>18</v>
      </c>
      <c r="D253">
        <f>_xll.BDP(A253&amp;" AB Equity","RT_PX_CHG_PCT_1D")</f>
        <v>-0.11100000143051147</v>
      </c>
      <c r="E253">
        <f>_xll.BDP(A253&amp;" AB Equity","CHG_PCT_1M_RT")</f>
        <v>19.284300000000002</v>
      </c>
      <c r="F253">
        <f>_xll.BDP(A253&amp;" AB Equity","CHG_PCT_YTD_RT")</f>
        <v>4.7119999999999997</v>
      </c>
      <c r="G253">
        <f>_xll.BDP(A253&amp;" AB Equity","YEST_LAST_TRADE")</f>
        <v>18.02</v>
      </c>
      <c r="H253">
        <f>_xll.BDP(A253&amp;" AB Equity","HIGH_52WEEK")</f>
        <v>26.98</v>
      </c>
      <c r="I253">
        <f>_xll.BDP(A253&amp;" AB Equity","LOW_52WEEK")</f>
        <v>14.54</v>
      </c>
      <c r="J253">
        <f>_xll.BDP(A253&amp;" AB Equity","VOLUME")</f>
        <v>1892470</v>
      </c>
      <c r="K253">
        <f>_xll.BDP(A253&amp;" AB Equity","OPEN")</f>
        <v>17.96</v>
      </c>
      <c r="L253">
        <f>_xll.BDP(A253&amp;" AB Equity","LOW")</f>
        <v>17.809999999999999</v>
      </c>
      <c r="M253">
        <f>_xll.BDP(A253&amp;" AB Equity","HIGH")</f>
        <v>18.12</v>
      </c>
      <c r="N253">
        <f>_xll.BDP(A253&amp;" AB Equity","VWAP")</f>
        <v>17.951699999999999</v>
      </c>
      <c r="O253" t="str">
        <f>_xll.BDP(A253&amp;" AB Equity","SAUDI_ARABIA_EXCHANGE_ID")</f>
        <v>4325</v>
      </c>
      <c r="P253">
        <f>_xll.BDP(A253&amp;" AB Equity","VOLUME_AVG_30D")</f>
        <v>2784266</v>
      </c>
      <c r="Q253">
        <f>_xll.BDP(A253&amp;" AB Equity","BID")</f>
        <v>17.899999999999999</v>
      </c>
      <c r="R253">
        <f>_xll.BDP(A253&amp;" AB Equity","ASK")</f>
        <v>18</v>
      </c>
      <c r="S253">
        <f>_xll.BDP(A253&amp;" AB Equity","CHG_PCT_MOV_AVG_200D")</f>
        <v>-5.4264950000000001</v>
      </c>
      <c r="T253">
        <f>_xll.BDP(A253&amp;" AB Equity","HIGH_30D")</f>
        <v>18.8</v>
      </c>
      <c r="U253">
        <f>_xll.BDP(A253&amp;" AB Equity","LOW_30D")</f>
        <v>14.54</v>
      </c>
      <c r="V253" s="11" t="str" cm="1">
        <f t="array" aca="1" ref="V253" ca="1">_xll.BDH(A253&amp;" AB Equity","MOV_AVG_200D",TODAY()-32,TODAY()-32,"Days=T")</f>
        <v>#N/A N/A</v>
      </c>
      <c r="W253">
        <v>12.7738</v>
      </c>
      <c r="X253">
        <f>IF(B253="","",_xlfn.SINGLE(_xll.BDP(A253&amp;" AB Equity","MOV_AVG_200D")))</f>
        <v>18.937650000000001</v>
      </c>
    </row>
    <row r="254" spans="1:24" x14ac:dyDescent="0.25">
      <c r="A254" t="s">
        <v>259</v>
      </c>
      <c r="B254">
        <f>_xll.BDP(A254&amp;" AB Equity","LAST_PRICE")</f>
        <v>15.62</v>
      </c>
      <c r="C254">
        <f>_xll.BDP(A254&amp;" AB Equity","LAST_PRICE")</f>
        <v>15.62</v>
      </c>
      <c r="D254">
        <f>_xll.BDP(A254&amp;" AB Equity","RT_PX_CHG_PCT_1D")</f>
        <v>0</v>
      </c>
      <c r="E254">
        <f>_xll.BDP(A254&amp;" AB Equity","CHG_PCT_1M_RT")</f>
        <v>-4.0541</v>
      </c>
      <c r="F254">
        <f>_xll.BDP(A254&amp;" AB Equity","CHG_PCT_YTD_RT")</f>
        <v>21.179200000000002</v>
      </c>
      <c r="G254">
        <f>_xll.BDP(A254&amp;" AB Equity","YEST_LAST_TRADE")</f>
        <v>15.62</v>
      </c>
      <c r="H254">
        <f>_xll.BDP(A254&amp;" AB Equity","HIGH_52WEEK")</f>
        <v>21.07</v>
      </c>
      <c r="I254">
        <f>_xll.BDP(A254&amp;" AB Equity","LOW_52WEEK")</f>
        <v>12.3</v>
      </c>
      <c r="J254">
        <f>_xll.BDP(A254&amp;" AB Equity","VOLUME")</f>
        <v>435739</v>
      </c>
      <c r="K254">
        <f>_xll.BDP(A254&amp;" AB Equity","OPEN")</f>
        <v>15.54</v>
      </c>
      <c r="L254">
        <f>_xll.BDP(A254&amp;" AB Equity","LOW")</f>
        <v>15.38</v>
      </c>
      <c r="M254">
        <f>_xll.BDP(A254&amp;" AB Equity","HIGH")</f>
        <v>15.62</v>
      </c>
      <c r="N254">
        <f>_xll.BDP(A254&amp;" AB Equity","VWAP")</f>
        <v>15.5245</v>
      </c>
      <c r="O254" t="str">
        <f>_xll.BDP(A254&amp;" AB Equity","SAUDI_ARABIA_EXCHANGE_ID")</f>
        <v>4020</v>
      </c>
      <c r="P254">
        <f>_xll.BDP(A254&amp;" AB Equity","VOLUME_AVG_30D")</f>
        <v>1014909</v>
      </c>
      <c r="Q254">
        <f>_xll.BDP(A254&amp;" AB Equity","BID")</f>
        <v>15.6</v>
      </c>
      <c r="R254">
        <f>_xll.BDP(A254&amp;" AB Equity","ASK")</f>
        <v>15.62</v>
      </c>
      <c r="S254">
        <f>_xll.BDP(A254&amp;" AB Equity","CHG_PCT_MOV_AVG_200D")</f>
        <v>8.438034</v>
      </c>
      <c r="T254">
        <f>_xll.BDP(A254&amp;" AB Equity","HIGH_30D")</f>
        <v>16.78</v>
      </c>
      <c r="U254">
        <f>_xll.BDP(A254&amp;" AB Equity","LOW_30D")</f>
        <v>14.43</v>
      </c>
      <c r="V254" s="11" t="str" cm="1">
        <f t="array" aca="1" ref="V254" ca="1">_xll.BDH(A254&amp;" AB Equity","MOV_AVG_200D",TODAY()-32,TODAY()-32,"Days=T")</f>
        <v>#N/A N/A</v>
      </c>
      <c r="W254">
        <v>12.7699</v>
      </c>
      <c r="X254">
        <f>IF(B254="","",_xlfn.SINGLE(_xll.BDP(A254&amp;" AB Equity","MOV_AVG_200D")))</f>
        <v>14.303100000000001</v>
      </c>
    </row>
    <row r="255" spans="1:24" x14ac:dyDescent="0.25">
      <c r="A255" t="s">
        <v>260</v>
      </c>
      <c r="B255">
        <f>_xll.BDP(A255&amp;" AB Equity","LAST_PRICE")</f>
        <v>18.010000000000002</v>
      </c>
      <c r="C255">
        <f>_xll.BDP(A255&amp;" AB Equity","LAST_PRICE")</f>
        <v>18.010000000000002</v>
      </c>
      <c r="D255">
        <f>_xll.BDP(A255&amp;" AB Equity","RT_PX_CHG_PCT_1D")</f>
        <v>1.9818999767303467</v>
      </c>
      <c r="E255">
        <f>_xll.BDP(A255&amp;" AB Equity","CHG_PCT_1M_RT")</f>
        <v>0.16689999999999999</v>
      </c>
      <c r="F255">
        <f>_xll.BDP(A255&amp;" AB Equity","CHG_PCT_YTD_RT")</f>
        <v>12.9862</v>
      </c>
      <c r="G255">
        <f>_xll.BDP(A255&amp;" AB Equity","YEST_LAST_TRADE")</f>
        <v>17.66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1673194</v>
      </c>
      <c r="K255">
        <f>_xll.BDP(A255&amp;" AB Equity","OPEN")</f>
        <v>17.79</v>
      </c>
      <c r="L255">
        <f>_xll.BDP(A255&amp;" AB Equity","LOW")</f>
        <v>17.53</v>
      </c>
      <c r="M255">
        <f>_xll.BDP(A255&amp;" AB Equity","HIGH")</f>
        <v>18.32</v>
      </c>
      <c r="N255">
        <f>_xll.BDP(A255&amp;" AB Equity","VWAP")</f>
        <v>17.998999999999999</v>
      </c>
      <c r="O255" t="str">
        <f>_xll.BDP(A255&amp;" AB Equity","SAUDI_ARABIA_EXCHANGE_ID")</f>
        <v>4300</v>
      </c>
      <c r="P255">
        <f>_xll.BDP(A255&amp;" AB Equity","VOLUME_AVG_30D")</f>
        <v>1047466</v>
      </c>
      <c r="Q255">
        <f>_xll.BDP(A255&amp;" AB Equity","BID")</f>
        <v>18.010000000000002</v>
      </c>
      <c r="R255">
        <f>_xll.BDP(A255&amp;" AB Equity","ASK")</f>
        <v>18.059999999999999</v>
      </c>
      <c r="S255">
        <f>_xll.BDP(A255&amp;" AB Equity","CHG_PCT_MOV_AVG_200D")</f>
        <v>1.9095949999999999</v>
      </c>
      <c r="T255">
        <f>_xll.BDP(A255&amp;" AB Equity","HIGH_30D")</f>
        <v>18.5</v>
      </c>
      <c r="U255">
        <f>_xll.BDP(A255&amp;" AB Equity","LOW_30D")</f>
        <v>16.78</v>
      </c>
      <c r="V255" s="11" t="str" cm="1">
        <f t="array" aca="1" ref="V255" ca="1">_xll.BDH(A255&amp;" AB Equity","MOV_AVG_200D",TODAY()-32,TODAY()-32,"Days=T")</f>
        <v>#N/A N/A</v>
      </c>
      <c r="W255">
        <v>12.764200000000001</v>
      </c>
      <c r="X255">
        <f>IF(B255="","",_xlfn.SINGLE(_xll.BDP(A255&amp;" AB Equity","MOV_AVG_200D")))</f>
        <v>17.495899999999999</v>
      </c>
    </row>
    <row r="256" spans="1:24" x14ac:dyDescent="0.25">
      <c r="A256" t="s">
        <v>261</v>
      </c>
      <c r="B256">
        <f>_xll.BDP(A256&amp;" AB Equity","LAST_PRICE")</f>
        <v>3.07</v>
      </c>
      <c r="C256">
        <f>_xll.BDP(A256&amp;" AB Equity","LAST_PRICE")</f>
        <v>3.07</v>
      </c>
      <c r="D256">
        <f>_xll.BDP(A256&amp;" AB Equity","RT_PX_CHG_PCT_1D")</f>
        <v>1.320099949836731</v>
      </c>
      <c r="E256">
        <f>_xll.BDP(A256&amp;" AB Equity","CHG_PCT_1M_RT")</f>
        <v>-4.3613999999999997</v>
      </c>
      <c r="F256">
        <f>_xll.BDP(A256&amp;" AB Equity","CHG_PCT_YTD_RT")</f>
        <v>-14.245799999999999</v>
      </c>
      <c r="G256">
        <f>_xll.BDP(A256&amp;" AB Equity","YEST_LAST_TRADE")</f>
        <v>3.03</v>
      </c>
      <c r="H256">
        <f>_xll.BDP(A256&amp;" AB Equity","HIGH_52WEEK")</f>
        <v>5.32</v>
      </c>
      <c r="I256">
        <f>_xll.BDP(A256&amp;" AB Equity","LOW_52WEEK")</f>
        <v>3</v>
      </c>
      <c r="J256">
        <f>_xll.BDP(A256&amp;" AB Equity","VOLUME")</f>
        <v>216373</v>
      </c>
      <c r="K256">
        <f>_xll.BDP(A256&amp;" AB Equity","OPEN")</f>
        <v>3.04</v>
      </c>
      <c r="L256">
        <f>_xll.BDP(A256&amp;" AB Equity","LOW")</f>
        <v>3.02</v>
      </c>
      <c r="M256">
        <f>_xll.BDP(A256&amp;" AB Equity","HIGH")</f>
        <v>3.09</v>
      </c>
      <c r="N256">
        <f>_xll.BDP(A256&amp;" AB Equity","VWAP")</f>
        <v>3.06</v>
      </c>
      <c r="O256" t="str">
        <f>_xll.BDP(A256&amp;" AB Equity","SAUDI_ARABIA_EXCHANGE_ID")</f>
        <v>4324</v>
      </c>
      <c r="P256">
        <f>_xll.BDP(A256&amp;" AB Equity","VOLUME_AVG_30D")</f>
        <v>298919.2</v>
      </c>
      <c r="Q256">
        <f>_xll.BDP(A256&amp;" AB Equity","BID")</f>
        <v>3.05</v>
      </c>
      <c r="R256">
        <f>_xll.BDP(A256&amp;" AB Equity","ASK")</f>
        <v>3.07</v>
      </c>
      <c r="S256">
        <f>_xll.BDP(A256&amp;" AB Equity","CHG_PCT_MOV_AVG_200D")</f>
        <v>-18.872699999999998</v>
      </c>
      <c r="T256">
        <f>_xll.BDP(A256&amp;" AB Equity","HIGH_30D")</f>
        <v>3.42</v>
      </c>
      <c r="U256">
        <f>_xll.BDP(A256&amp;" AB Equity","LOW_30D")</f>
        <v>3</v>
      </c>
      <c r="V256" s="11" t="str" cm="1">
        <f t="array" aca="1" ref="V256" ca="1">_xll.BDH(A256&amp;" AB Equity","MOV_AVG_200D",TODAY()-32,TODAY()-32,"Days=T")</f>
        <v>#N/A N/A</v>
      </c>
      <c r="W256">
        <v>35.168500000000002</v>
      </c>
      <c r="X256">
        <f>IF(B256="","",_xlfn.SINGLE(_xll.BDP(A256&amp;" AB Equity","MOV_AVG_200D")))</f>
        <v>3.7718500000000001</v>
      </c>
    </row>
    <row r="257" spans="1:24" x14ac:dyDescent="0.25">
      <c r="A257" t="s">
        <v>262</v>
      </c>
      <c r="B257">
        <f>_xll.BDP(A257&amp;" AB Equity","LAST_PRICE")</f>
        <v>82.95</v>
      </c>
      <c r="C257">
        <f>_xll.BDP(A257&amp;" AB Equity","LAST_PRICE")</f>
        <v>82.95</v>
      </c>
      <c r="D257">
        <f>_xll.BDP(A257&amp;" AB Equity","RT_PX_CHG_PCT_1D")</f>
        <v>-2.0660998821258545</v>
      </c>
      <c r="E257">
        <f>_xll.BDP(A257&amp;" AB Equity","CHG_PCT_1M_RT")</f>
        <v>-8.6454000000000004</v>
      </c>
      <c r="F257">
        <f>_xll.BDP(A257&amp;" AB Equity","CHG_PCT_YTD_RT")</f>
        <v>4.274</v>
      </c>
      <c r="G257">
        <f>_xll.BDP(A257&amp;" AB Equity","YEST_LAST_TRADE")</f>
        <v>84.7</v>
      </c>
      <c r="H257">
        <f>_xll.BDP(A257&amp;" AB Equity","HIGH_52WEEK")</f>
        <v>94.65</v>
      </c>
      <c r="I257">
        <f>_xll.BDP(A257&amp;" AB Equity","LOW_52WEEK")</f>
        <v>67.95</v>
      </c>
      <c r="J257">
        <f>_xll.BDP(A257&amp;" AB Equity","VOLUME")</f>
        <v>243393</v>
      </c>
      <c r="K257">
        <f>_xll.BDP(A257&amp;" AB Equity","OPEN")</f>
        <v>84.5</v>
      </c>
      <c r="L257">
        <f>_xll.BDP(A257&amp;" AB Equity","LOW")</f>
        <v>82.7</v>
      </c>
      <c r="M257">
        <f>_xll.BDP(A257&amp;" AB Equity","HIGH")</f>
        <v>84.5</v>
      </c>
      <c r="N257">
        <f>_xll.BDP(A257&amp;" AB Equity","VWAP")</f>
        <v>83.027100000000004</v>
      </c>
      <c r="O257" t="str">
        <f>_xll.BDP(A257&amp;" AB Equity","SAUDI_ARABIA_EXCHANGE_ID")</f>
        <v>4100</v>
      </c>
      <c r="P257">
        <f>_xll.BDP(A257&amp;" AB Equity","VOLUME_AVG_30D")</f>
        <v>186001.4</v>
      </c>
      <c r="Q257">
        <f>_xll.BDP(A257&amp;" AB Equity","BID")</f>
        <v>82.95</v>
      </c>
      <c r="R257">
        <f>_xll.BDP(A257&amp;" AB Equity","ASK")</f>
        <v>83.1</v>
      </c>
      <c r="S257">
        <f>_xll.BDP(A257&amp;" AB Equity","CHG_PCT_MOV_AVG_200D")</f>
        <v>-0.37932690000000002</v>
      </c>
      <c r="T257">
        <f>_xll.BDP(A257&amp;" AB Equity","HIGH_30D")</f>
        <v>94.6</v>
      </c>
      <c r="U257">
        <f>_xll.BDP(A257&amp;" AB Equity","LOW_30D")</f>
        <v>77</v>
      </c>
      <c r="V257" s="11" t="str" cm="1">
        <f t="array" aca="1" ref="V257" ca="1">_xll.BDH(A257&amp;" AB Equity","MOV_AVG_200D",TODAY()-32,TODAY()-32,"Days=T")</f>
        <v>#N/A N/A</v>
      </c>
      <c r="W257">
        <v>83.286199999999994</v>
      </c>
      <c r="X257">
        <f>IF(B257="","",_xlfn.SINGLE(_xll.BDP(A257&amp;" AB Equity","MOV_AVG_200D")))</f>
        <v>83.767750000000007</v>
      </c>
    </row>
    <row r="258" spans="1:24" x14ac:dyDescent="0.25">
      <c r="A258" t="s">
        <v>263</v>
      </c>
      <c r="B258">
        <f>_xll.BDP(A258&amp;" AB Equity","LAST_PRICE")</f>
        <v>13.9</v>
      </c>
      <c r="C258">
        <f>_xll.BDP(A258&amp;" AB Equity","LAST_PRICE")</f>
        <v>13.9</v>
      </c>
      <c r="D258">
        <f>_xll.BDP(A258&amp;" AB Equity","RT_PX_CHG_PCT_1D")</f>
        <v>2.2058999538421631</v>
      </c>
      <c r="E258">
        <f>_xll.BDP(A258&amp;" AB Equity","CHG_PCT_1M_RT")</f>
        <v>-6.7114000000000003</v>
      </c>
      <c r="F258">
        <f>_xll.BDP(A258&amp;" AB Equity","CHG_PCT_YTD_RT")</f>
        <v>-23.2044</v>
      </c>
      <c r="G258">
        <f>_xll.BDP(A258&amp;" AB Equity","YEST_LAST_TRADE")</f>
        <v>13.6</v>
      </c>
      <c r="H258">
        <f>_xll.BDP(A258&amp;" AB Equity","HIGH_52WEEK")</f>
        <v>22.5</v>
      </c>
      <c r="I258">
        <f>_xll.BDP(A258&amp;" AB Equity","LOW_52WEEK")</f>
        <v>13.53</v>
      </c>
      <c r="J258">
        <f>_xll.BDP(A258&amp;" AB Equity","VOLUME")</f>
        <v>58596</v>
      </c>
      <c r="K258">
        <f>_xll.BDP(A258&amp;" AB Equity","OPEN")</f>
        <v>13.88</v>
      </c>
      <c r="L258">
        <f>_xll.BDP(A258&amp;" AB Equity","LOW")</f>
        <v>13.65</v>
      </c>
      <c r="M258">
        <f>_xll.BDP(A258&amp;" AB Equity","HIGH")</f>
        <v>13.98</v>
      </c>
      <c r="N258">
        <f>_xll.BDP(A258&amp;" AB Equity","VWAP")</f>
        <v>13.818</v>
      </c>
      <c r="O258" t="str">
        <f>_xll.BDP(A258&amp;" AB Equity","SAUDI_ARABIA_EXCHANGE_ID")</f>
        <v>4320</v>
      </c>
      <c r="P258">
        <f>_xll.BDP(A258&amp;" AB Equity","VOLUME_AVG_30D")</f>
        <v>51058.33</v>
      </c>
      <c r="Q258">
        <f>_xll.BDP(A258&amp;" AB Equity","BID")</f>
        <v>13.9</v>
      </c>
      <c r="R258">
        <f>_xll.BDP(A258&amp;" AB Equity","ASK")</f>
        <v>13.93</v>
      </c>
      <c r="S258">
        <f>_xll.BDP(A258&amp;" AB Equity","CHG_PCT_MOV_AVG_200D")</f>
        <v>-18.864329999999999</v>
      </c>
      <c r="T258">
        <f>_xll.BDP(A258&amp;" AB Equity","HIGH_30D")</f>
        <v>16.149999999999999</v>
      </c>
      <c r="U258">
        <f>_xll.BDP(A258&amp;" AB Equity","LOW_30D")</f>
        <v>13.53</v>
      </c>
      <c r="V258" s="11" t="str" cm="1">
        <f t="array" aca="1" ref="V258" ca="1">_xll.BDH(A258&amp;" AB Equity","MOV_AVG_200D",TODAY()-32,TODAY()-32,"Days=T")</f>
        <v>#N/A N/A</v>
      </c>
      <c r="W258">
        <v>83.286199999999994</v>
      </c>
      <c r="X258">
        <f>IF(B258="","",_xlfn.SINGLE(_xll.BDP(A258&amp;" AB Equity","MOV_AVG_200D")))</f>
        <v>17.057849999999998</v>
      </c>
    </row>
    <row r="259" spans="1:24" x14ac:dyDescent="0.25">
      <c r="A259" t="s">
        <v>264</v>
      </c>
      <c r="B259">
        <f>_xll.BDP(A259&amp;" AB Equity","LAST_PRICE")</f>
        <v>17.09</v>
      </c>
      <c r="C259">
        <f>_xll.BDP(A259&amp;" AB Equity","LAST_PRICE")</f>
        <v>17.09</v>
      </c>
      <c r="D259">
        <f>_xll.BDP(A259&amp;" AB Equity","RT_PX_CHG_PCT_1D")</f>
        <v>0.52939999103546143</v>
      </c>
      <c r="E259">
        <f>_xll.BDP(A259&amp;" AB Equity","CHG_PCT_1M_RT")</f>
        <v>0.82599999999999996</v>
      </c>
      <c r="F259">
        <f>_xll.BDP(A259&amp;" AB Equity","CHG_PCT_YTD_RT")</f>
        <v>-9.4809000000000001</v>
      </c>
      <c r="G259">
        <f>_xll.BDP(A259&amp;" AB Equity","YEST_LAST_TRADE")</f>
        <v>17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480575</v>
      </c>
      <c r="K259">
        <f>_xll.BDP(A259&amp;" AB Equity","OPEN")</f>
        <v>17.05</v>
      </c>
      <c r="L259">
        <f>_xll.BDP(A259&amp;" AB Equity","LOW")</f>
        <v>16.899999999999999</v>
      </c>
      <c r="M259">
        <f>_xll.BDP(A259&amp;" AB Equity","HIGH")</f>
        <v>17.100000000000001</v>
      </c>
      <c r="N259">
        <f>_xll.BDP(A259&amp;" AB Equity","VWAP")</f>
        <v>17.0259</v>
      </c>
      <c r="O259" t="str">
        <f>_xll.BDP(A259&amp;" AB Equity","SAUDI_ARABIA_EXCHANGE_ID")</f>
        <v>4321</v>
      </c>
      <c r="P259">
        <f>_xll.BDP(A259&amp;" AB Equity","VOLUME_AVG_30D")</f>
        <v>634001.19999999995</v>
      </c>
      <c r="Q259">
        <f>_xll.BDP(A259&amp;" AB Equity","BID")</f>
        <v>17.07</v>
      </c>
      <c r="R259">
        <f>_xll.BDP(A259&amp;" AB Equity","ASK")</f>
        <v>17.09</v>
      </c>
      <c r="S259">
        <f>_xll.BDP(A259&amp;" AB Equity","CHG_PCT_MOV_AVG_200D")</f>
        <v>-10.71405</v>
      </c>
      <c r="T259">
        <f>_xll.BDP(A259&amp;" AB Equity","HIGH_30D")</f>
        <v>17.41</v>
      </c>
      <c r="U259">
        <f>_xll.BDP(A259&amp;" AB Equity","LOW_30D")</f>
        <v>16.52</v>
      </c>
      <c r="V259" s="11" t="str" cm="1">
        <f t="array" aca="1" ref="V259" ca="1">_xll.BDH(A259&amp;" AB Equity","MOV_AVG_200D",TODAY()-32,TODAY()-32,"Days=T")</f>
        <v>#N/A N/A</v>
      </c>
      <c r="W259">
        <v>83.270200000000003</v>
      </c>
      <c r="X259">
        <f>IF(B259="","",_xlfn.SINGLE(_xll.BDP(A259&amp;" AB Equity","MOV_AVG_200D")))</f>
        <v>19.095949999999998</v>
      </c>
    </row>
    <row r="260" spans="1:24" x14ac:dyDescent="0.25">
      <c r="A260" t="s">
        <v>265</v>
      </c>
      <c r="B260">
        <f>_xll.BDP(A260&amp;" AB Equity","LAST_PRICE")</f>
        <v>17.89</v>
      </c>
      <c r="C260">
        <f>_xll.BDP(A260&amp;" AB Equity","LAST_PRICE")</f>
        <v>17.89</v>
      </c>
      <c r="D260">
        <f>_xll.BDP(A260&amp;" AB Equity","RT_PX_CHG_PCT_1D")</f>
        <v>0.78869998455047607</v>
      </c>
      <c r="E260">
        <f>_xll.BDP(A260&amp;" AB Equity","CHG_PCT_1M_RT")</f>
        <v>-3.5059</v>
      </c>
      <c r="F260">
        <f>_xll.BDP(A260&amp;" AB Equity","CHG_PCT_YTD_RT")</f>
        <v>-20.098299999999998</v>
      </c>
      <c r="G260">
        <f>_xll.BDP(A260&amp;" AB Equity","YEST_LAST_TRADE")</f>
        <v>17.75</v>
      </c>
      <c r="H260">
        <f>_xll.BDP(A260&amp;" AB Equity","HIGH_52WEEK")</f>
        <v>35.92</v>
      </c>
      <c r="I260">
        <f>_xll.BDP(A260&amp;" AB Equity","LOW_52WEEK")</f>
        <v>17.02</v>
      </c>
      <c r="J260">
        <f>_xll.BDP(A260&amp;" AB Equity","VOLUME")</f>
        <v>340654</v>
      </c>
      <c r="K260">
        <f>_xll.BDP(A260&amp;" AB Equity","OPEN")</f>
        <v>17.739999999999998</v>
      </c>
      <c r="L260">
        <f>_xll.BDP(A260&amp;" AB Equity","LOW")</f>
        <v>17.690000000000001</v>
      </c>
      <c r="M260">
        <f>_xll.BDP(A260&amp;" AB Equity","HIGH")</f>
        <v>18.100000000000001</v>
      </c>
      <c r="N260">
        <f>_xll.BDP(A260&amp;" AB Equity","VWAP")</f>
        <v>17.972899999999999</v>
      </c>
      <c r="O260" t="str">
        <f>_xll.BDP(A260&amp;" AB Equity","SAUDI_ARABIA_EXCHANGE_ID")</f>
        <v>4150</v>
      </c>
      <c r="P260">
        <f>_xll.BDP(A260&amp;" AB Equity","VOLUME_AVG_30D")</f>
        <v>246533.5</v>
      </c>
      <c r="Q260">
        <f>_xll.BDP(A260&amp;" AB Equity","BID")</f>
        <v>17.89</v>
      </c>
      <c r="R260">
        <f>_xll.BDP(A260&amp;" AB Equity","ASK")</f>
        <v>18</v>
      </c>
      <c r="S260">
        <f>_xll.BDP(A260&amp;" AB Equity","CHG_PCT_MOV_AVG_200D")</f>
        <v>-20.205880000000001</v>
      </c>
      <c r="T260">
        <f>_xll.BDP(A260&amp;" AB Equity","HIGH_30D")</f>
        <v>18.8</v>
      </c>
      <c r="U260">
        <f>_xll.BDP(A260&amp;" AB Equity","LOW_30D")</f>
        <v>17.5</v>
      </c>
      <c r="V260" s="11" t="str" cm="1">
        <f t="array" aca="1" ref="V260" ca="1">_xll.BDH(A260&amp;" AB Equity","MOV_AVG_200D",TODAY()-32,TODAY()-32,"Days=T")</f>
        <v>#N/A N/A</v>
      </c>
      <c r="W260">
        <v>83.248699999999999</v>
      </c>
      <c r="X260">
        <f>IF(B260="","",_xlfn.SINGLE(_xll.BDP(A260&amp;" AB Equity","MOV_AVG_200D")))</f>
        <v>22.595649999999999</v>
      </c>
    </row>
    <row r="261" spans="1:24" x14ac:dyDescent="0.25">
      <c r="A261" t="s">
        <v>266</v>
      </c>
      <c r="B261">
        <f>_xll.BDP(A261&amp;" AB Equity","LAST_PRICE")</f>
        <v>7.21</v>
      </c>
      <c r="C261">
        <f>_xll.BDP(A261&amp;" AB Equity","LAST_PRICE")</f>
        <v>7.21</v>
      </c>
      <c r="D261">
        <f>_xll.BDP(A261&amp;" AB Equity","RT_PX_CHG_PCT_1D")</f>
        <v>0.83920001983642578</v>
      </c>
      <c r="E261">
        <f>_xll.BDP(A261&amp;" AB Equity","CHG_PCT_1M_RT")</f>
        <v>-4.1223000000000001</v>
      </c>
      <c r="F261">
        <f>_xll.BDP(A261&amp;" AB Equity","CHG_PCT_YTD_RT")</f>
        <v>-28.1873</v>
      </c>
      <c r="G261">
        <f>_xll.BDP(A261&amp;" AB Equity","YEST_LAST_TRADE")</f>
        <v>7.15</v>
      </c>
      <c r="H261">
        <f>_xll.BDP(A261&amp;" AB Equity","HIGH_52WEEK")</f>
        <v>14.46</v>
      </c>
      <c r="I261">
        <f>_xll.BDP(A261&amp;" AB Equity","LOW_52WEEK")</f>
        <v>7.14</v>
      </c>
      <c r="J261">
        <f>_xll.BDP(A261&amp;" AB Equity","VOLUME")</f>
        <v>1069134</v>
      </c>
      <c r="K261">
        <f>_xll.BDP(A261&amp;" AB Equity","OPEN")</f>
        <v>7.15</v>
      </c>
      <c r="L261">
        <f>_xll.BDP(A261&amp;" AB Equity","LOW")</f>
        <v>7.14</v>
      </c>
      <c r="M261">
        <f>_xll.BDP(A261&amp;" AB Equity","HIGH")</f>
        <v>7.24</v>
      </c>
      <c r="N261">
        <f>_xll.BDP(A261&amp;" AB Equity","VWAP")</f>
        <v>7.2049000000000003</v>
      </c>
      <c r="O261" t="str">
        <f>_xll.BDP(A261&amp;" AB Equity","SAUDI_ARABIA_EXCHANGE_ID")</f>
        <v>4326</v>
      </c>
      <c r="P261">
        <f>_xll.BDP(A261&amp;" AB Equity","VOLUME_AVG_30D")</f>
        <v>1212711</v>
      </c>
      <c r="Q261">
        <f>_xll.BDP(A261&amp;" AB Equity","BID")</f>
        <v>7.2</v>
      </c>
      <c r="R261">
        <f>_xll.BDP(A261&amp;" AB Equity","ASK")</f>
        <v>7.21</v>
      </c>
      <c r="S261" t="e">
        <f>IF(ISNUMBER(_xlfn.SINGLE(_xll.BDP(A261&amp;" AB Equity","CHG_PCT_MOV_AVG_200D"))),_xlfn.SINGLE(_xll.BDP(A261&amp;" AB Equity","CHG_PCT_MOV_AVG_200D")),IF(ISNUMBER(X261),(B261-X261)/X261*100,0))</f>
        <v>#DIV/0!</v>
      </c>
      <c r="T261">
        <f>_xll.BDP(A261&amp;" AB Equity","HIGH_30D")</f>
        <v>7.84</v>
      </c>
      <c r="U261">
        <f>_xll.BDP(A261&amp;" AB Equity","LOW_30D")</f>
        <v>7.14</v>
      </c>
      <c r="V261" s="11" t="str" cm="1">
        <f t="array" aca="1" ref="V261" ca="1">_xll.BDH(A261&amp;" AB Equity","MOV_AVG_200D",TODAY()-32,TODAY()-32,"Days=T")</f>
        <v>#N/A N/A</v>
      </c>
      <c r="W261">
        <v>83.221699999999998</v>
      </c>
      <c r="X261">
        <f>IF(B261="","",IF(ISNUMBER(_xlfn.SINGLE(_xll.BDP(A261&amp;" AB Equity","MOV_AVG_200D"))),_xlfn.SINGLE(_xll.BDP(A261&amp;" AB Equity","MOV_AVG_200D")),0))</f>
        <v>0</v>
      </c>
    </row>
    <row r="262" spans="1:24" x14ac:dyDescent="0.25">
      <c r="A262" t="s">
        <v>267</v>
      </c>
      <c r="B262">
        <f>_xll.BDP(A262&amp;" AB Equity","LAST_PRICE")</f>
        <v>9.98</v>
      </c>
      <c r="C262">
        <f>_xll.BDP(A262&amp;" AB Equity","LAST_PRICE")</f>
        <v>9.98</v>
      </c>
      <c r="D262">
        <f>_xll.BDP(A262&amp;" AB Equity","RT_PX_CHG_PCT_1D")</f>
        <v>-0.49849998950958252</v>
      </c>
      <c r="E262">
        <f>_xll.BDP(A262&amp;" AB Equity","CHG_PCT_1M_RT")</f>
        <v>-5.9378000000000002</v>
      </c>
      <c r="F262">
        <f>_xll.BDP(A262&amp;" AB Equity","CHG_PCT_YTD_RT")</f>
        <v>-0.29970000000000002</v>
      </c>
      <c r="G262">
        <f>_xll.BDP(A262&amp;" AB Equity","YEST_LAST_TRADE")</f>
        <v>10.029999999999999</v>
      </c>
      <c r="H262">
        <f>_xll.BDP(A262&amp;" AB Equity","HIGH_52WEEK")</f>
        <v>14.76</v>
      </c>
      <c r="I262">
        <f>_xll.BDP(A262&amp;" AB Equity","LOW_52WEEK")</f>
        <v>7.96</v>
      </c>
      <c r="J262">
        <f>_xll.BDP(A262&amp;" AB Equity","VOLUME")</f>
        <v>270359</v>
      </c>
      <c r="K262">
        <f>_xll.BDP(A262&amp;" AB Equity","OPEN")</f>
        <v>10.029999999999999</v>
      </c>
      <c r="L262">
        <f>_xll.BDP(A262&amp;" AB Equity","LOW")</f>
        <v>9.9700000000000006</v>
      </c>
      <c r="M262">
        <f>_xll.BDP(A262&amp;" AB Equity","HIGH")</f>
        <v>10.07</v>
      </c>
      <c r="N262">
        <f>_xll.BDP(A262&amp;" AB Equity","VWAP")</f>
        <v>10.000299999999999</v>
      </c>
      <c r="O262" t="str">
        <f>_xll.BDP(A262&amp;" AB Equity","SAUDI_ARABIA_EXCHANGE_ID")</f>
        <v>4220</v>
      </c>
      <c r="P262">
        <f>_xll.BDP(A262&amp;" AB Equity","VOLUME_AVG_30D")</f>
        <v>443131.4</v>
      </c>
      <c r="Q262">
        <f>_xll.BDP(A262&amp;" AB Equity","BID")</f>
        <v>9.9700000000000006</v>
      </c>
      <c r="R262">
        <f>_xll.BDP(A262&amp;" AB Equity","ASK")</f>
        <v>9.98</v>
      </c>
      <c r="S262">
        <f>_xll.BDP(A262&amp;" AB Equity","CHG_PCT_MOV_AVG_200D")</f>
        <v>-7.881697</v>
      </c>
      <c r="T262">
        <f>_xll.BDP(A262&amp;" AB Equity","HIGH_30D")</f>
        <v>11.59</v>
      </c>
      <c r="U262">
        <f>_xll.BDP(A262&amp;" AB Equity","LOW_30D")</f>
        <v>9.99</v>
      </c>
      <c r="V262" s="11" t="str" cm="1">
        <f t="array" aca="1" ref="V262" ca="1">_xll.BDH(A262&amp;" AB Equity","MOV_AVG_200D",TODAY()-32,TODAY()-32,"Days=T")</f>
        <v>#N/A N/A</v>
      </c>
      <c r="W262">
        <v>83.181200000000004</v>
      </c>
      <c r="X262">
        <f>IF(B262="","",_xlfn.SINGLE(_xll.BDP(A262&amp;" AB Equity","MOV_AVG_200D")))</f>
        <v>10.844749999999999</v>
      </c>
    </row>
    <row r="263" spans="1:24" x14ac:dyDescent="0.25">
      <c r="A263" t="s">
        <v>268</v>
      </c>
      <c r="B263">
        <f>_xll.BDP(A263&amp;" AB Equity","LAST_PRICE")</f>
        <v>12.15</v>
      </c>
      <c r="C263">
        <f>_xll.BDP(A263&amp;" AB Equity","LAST_PRICE")</f>
        <v>12.15</v>
      </c>
      <c r="D263">
        <f>_xll.BDP(A263&amp;" AB Equity","RT_PX_CHG_PCT_1D")</f>
        <v>-1.219499945640564</v>
      </c>
      <c r="E263">
        <f>_xll.BDP(A263&amp;" AB Equity","CHG_PCT_1M_RT")</f>
        <v>1.5886</v>
      </c>
      <c r="F263">
        <f>_xll.BDP(A263&amp;" AB Equity","CHG_PCT_YTD_RT")</f>
        <v>6.3922999999999996</v>
      </c>
      <c r="G263">
        <f>_xll.BDP(A263&amp;" AB Equity","YEST_LAST_TRADE")</f>
        <v>12.3</v>
      </c>
      <c r="H263">
        <f>_xll.BDP(A263&amp;" AB Equity","HIGH_52WEEK")</f>
        <v>14.5</v>
      </c>
      <c r="I263">
        <f>_xll.BDP(A263&amp;" AB Equity","LOW_52WEEK")</f>
        <v>11.03</v>
      </c>
      <c r="J263">
        <f>_xll.BDP(A263&amp;" AB Equity","VOLUME")</f>
        <v>135796</v>
      </c>
      <c r="K263">
        <f>_xll.BDP(A263&amp;" AB Equity","OPEN")</f>
        <v>12.3</v>
      </c>
      <c r="L263">
        <f>_xll.BDP(A263&amp;" AB Equity","LOW")</f>
        <v>12.15</v>
      </c>
      <c r="M263">
        <f>_xll.BDP(A263&amp;" AB Equity","HIGH")</f>
        <v>12.35</v>
      </c>
      <c r="N263">
        <f>_xll.BDP(A263&amp;" AB Equity","VWAP")</f>
        <v>12.218299999999999</v>
      </c>
      <c r="O263" t="str">
        <f>_xll.BDP(A263&amp;" AB Equity","SAUDI_ARABIA_EXCHANGE_ID")</f>
        <v>4310</v>
      </c>
      <c r="P263">
        <f>_xll.BDP(A263&amp;" AB Equity","VOLUME_AVG_30D")</f>
        <v>275668.90000000002</v>
      </c>
      <c r="Q263">
        <f>_xll.BDP(A263&amp;" AB Equity","BID")</f>
        <v>12.15</v>
      </c>
      <c r="R263">
        <f>_xll.BDP(A263&amp;" AB Equity","ASK")</f>
        <v>12.18</v>
      </c>
      <c r="S263">
        <f>_xll.BDP(A263&amp;" AB Equity","CHG_PCT_MOV_AVG_200D")</f>
        <v>1.8835150000000001</v>
      </c>
      <c r="T263">
        <f>_xll.BDP(A263&amp;" AB Equity","HIGH_30D")</f>
        <v>12.94</v>
      </c>
      <c r="U263">
        <f>_xll.BDP(A263&amp;" AB Equity","LOW_30D")</f>
        <v>11.45</v>
      </c>
      <c r="V263" s="11" t="str" cm="1">
        <f t="array" aca="1" ref="V263" ca="1">_xll.BDH(A263&amp;" AB Equity","MOV_AVG_200D",TODAY()-32,TODAY()-32,"Days=T")</f>
        <v>#N/A N/A</v>
      </c>
      <c r="W263">
        <v>18.333100000000002</v>
      </c>
      <c r="X263">
        <f>IF(B263="","",_xlfn.SINGLE(_xll.BDP(A263&amp;" AB Equity","MOV_AVG_200D")))</f>
        <v>12.03335</v>
      </c>
    </row>
    <row r="264" spans="1:24" x14ac:dyDescent="0.25">
      <c r="A264" t="s">
        <v>269</v>
      </c>
      <c r="B264">
        <f>_xll.BDP(A264&amp;" AB Equity","LAST_PRICE")</f>
        <v>18.440000000000001</v>
      </c>
      <c r="C264">
        <f>_xll.BDP(A264&amp;" AB Equity","LAST_PRICE")</f>
        <v>18.440000000000001</v>
      </c>
      <c r="D264">
        <f>_xll.BDP(A264&amp;" AB Equity","RT_PX_CHG_PCT_1D")</f>
        <v>-0.3781999945640564</v>
      </c>
      <c r="E264">
        <f>_xll.BDP(A264&amp;" AB Equity","CHG_PCT_1M_RT")</f>
        <v>-9.0281000000000002</v>
      </c>
      <c r="F264">
        <f>_xll.BDP(A264&amp;" AB Equity","CHG_PCT_YTD_RT")</f>
        <v>10.2805</v>
      </c>
      <c r="G264">
        <f>_xll.BDP(A264&amp;" AB Equity","YEST_LAST_TRADE")</f>
        <v>18.510000000000002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180823</v>
      </c>
      <c r="K264">
        <f>_xll.BDP(A264&amp;" AB Equity","OPEN")</f>
        <v>18.54</v>
      </c>
      <c r="L264">
        <f>_xll.BDP(A264&amp;" AB Equity","LOW")</f>
        <v>18.27</v>
      </c>
      <c r="M264">
        <f>_xll.BDP(A264&amp;" AB Equity","HIGH")</f>
        <v>18.559999999999999</v>
      </c>
      <c r="N264">
        <f>_xll.BDP(A264&amp;" AB Equity","VWAP")</f>
        <v>18.366900000000001</v>
      </c>
      <c r="O264" t="str">
        <f>_xll.BDP(A264&amp;" AB Equity","SAUDI_ARABIA_EXCHANGE_ID")</f>
        <v>4090</v>
      </c>
      <c r="P264">
        <f>_xll.BDP(A264&amp;" AB Equity","VOLUME_AVG_30D")</f>
        <v>283902.3</v>
      </c>
      <c r="Q264">
        <f>_xll.BDP(A264&amp;" AB Equity","BID")</f>
        <v>18.440000000000001</v>
      </c>
      <c r="R264">
        <f>_xll.BDP(A264&amp;" AB Equity","ASK")</f>
        <v>18.47</v>
      </c>
      <c r="S264">
        <f>_xll.BDP(A264&amp;" AB Equity","CHG_PCT_MOV_AVG_200D")</f>
        <v>-4.4760400000000002</v>
      </c>
      <c r="T264">
        <f>_xll.BDP(A264&amp;" AB Equity","HIGH_30D")</f>
        <v>20.8</v>
      </c>
      <c r="U264">
        <f>_xll.BDP(A264&amp;" AB Equity","LOW_30D")</f>
        <v>18.420000000000002</v>
      </c>
      <c r="V264" s="11" t="str" cm="1">
        <f t="array" aca="1" ref="V264" ca="1">_xll.BDH(A264&amp;" AB Equity","MOV_AVG_200D",TODAY()-32,TODAY()-32,"Days=T")</f>
        <v>#N/A N/A</v>
      </c>
      <c r="W264">
        <v>19.996300000000002</v>
      </c>
      <c r="X264">
        <f>IF(B264="","",_xlfn.SINGLE(_xll.BDP(A264&amp;" AB Equity","MOV_AVG_200D")))</f>
        <v>19.272649999999999</v>
      </c>
    </row>
    <row r="265" spans="1:24" x14ac:dyDescent="0.25">
      <c r="A265" t="s">
        <v>430</v>
      </c>
      <c r="B265">
        <f>_xll.BDP(A265&amp;" AB Equity","LAST_PRICE")</f>
        <v>55.8</v>
      </c>
      <c r="C265">
        <f>_xll.BDP(A265&amp;" AB Equity","LAST_PRICE")</f>
        <v>55.8</v>
      </c>
      <c r="D265">
        <f>_xll.BDP(A265&amp;" AB Equity","RT_PX_CHG_PCT_1D")</f>
        <v>-0.71170002222061157</v>
      </c>
      <c r="E265">
        <f>_xll.BDP(A265&amp;" AB Equity","CHG_PCT_1M_RT")</f>
        <v>-2.0192999999999999</v>
      </c>
      <c r="F265">
        <f>_xll.BDP(A265&amp;" AB Equity","CHG_PCT_YTD_RT")</f>
        <v>2.7624</v>
      </c>
      <c r="G265">
        <f>_xll.BDP(A265&amp;" AB Equity","YEST_LAST_TRADE")</f>
        <v>56.2</v>
      </c>
      <c r="H265">
        <f>_xll.BDP(A265&amp;" AB Equity","HIGH_52WEEK")</f>
        <v>69.75</v>
      </c>
      <c r="I265">
        <f>_xll.BDP(A265&amp;" AB Equity","LOW_52WEEK")</f>
        <v>52.4</v>
      </c>
      <c r="J265">
        <f>_xll.BDP(A265&amp;" AB Equity","VOLUME")</f>
        <v>54937</v>
      </c>
      <c r="K265">
        <f>_xll.BDP(A265&amp;" AB Equity","OPEN")</f>
        <v>56.15</v>
      </c>
      <c r="L265">
        <f>_xll.BDP(A265&amp;" AB Equity","LOW")</f>
        <v>55.55</v>
      </c>
      <c r="M265">
        <f>_xll.BDP(A265&amp;" AB Equity","HIGH")</f>
        <v>56.5</v>
      </c>
      <c r="N265">
        <f>_xll.BDP(A265&amp;" AB Equity","VWAP")</f>
        <v>55.857900000000001</v>
      </c>
      <c r="O265" t="str">
        <f>_xll.BDP(A265&amp;" AB Equity","SAUDI_ARABIA_EXCHANGE_ID")</f>
        <v>4327</v>
      </c>
      <c r="P265">
        <f>_xll.BDP(A265&amp;" AB Equity","VOLUME_AVG_30D")</f>
        <v>192438.5</v>
      </c>
      <c r="Q265">
        <f>_xll.BDP(A265&amp;" AB Equity","BID")</f>
        <v>55.8</v>
      </c>
      <c r="R265">
        <f>_xll.BDP(A265&amp;" AB Equity","ASK")</f>
        <v>55.9</v>
      </c>
      <c r="S265" t="str">
        <f>_xll.BDP(A265&amp;" AB Equity","CHG_PCT_MOV_AVG_200D")</f>
        <v>#N/A N/A</v>
      </c>
      <c r="T265">
        <f>_xll.BDP(A265&amp;" AB Equity","HIGH_30D")</f>
        <v>62.85</v>
      </c>
      <c r="U265">
        <f>_xll.BDP(A265&amp;" AB Equity","LOW_30D")</f>
        <v>54.1</v>
      </c>
      <c r="V265" s="11" t="str" cm="1">
        <f t="array" aca="1" ref="V265" ca="1">_xll.BDH(A265&amp;" AB Equity","MOV_AVG_200D",TODAY()-32,TODAY()-32,"Days=T")</f>
        <v>#N/A N/A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6.59</v>
      </c>
      <c r="C267">
        <f>_xll.BDP(A267&amp;" AB Equity","LAST_PRICE")</f>
        <v>6.59</v>
      </c>
      <c r="D267">
        <f>_xll.BDP(A267&amp;" AB Equity","RT_PX_CHG_PCT_1D")</f>
        <v>2.3292000293731689</v>
      </c>
      <c r="E267">
        <f>_xll.BDP(A267&amp;" AB Equity","CHG_PCT_1M_RT")</f>
        <v>-0.45319999999999999</v>
      </c>
      <c r="F267">
        <f>_xll.BDP(A267&amp;" AB Equity","CHG_PCT_YTD_RT")</f>
        <v>-14.1927</v>
      </c>
      <c r="G267">
        <f>_xll.BDP(A267&amp;" AB Equity","YEST_LAST_TRADE")</f>
        <v>6.44</v>
      </c>
      <c r="H267">
        <f>_xll.BDP(A267&amp;" AB Equity","HIGH_52WEEK")</f>
        <v>11.85</v>
      </c>
      <c r="I267">
        <f>_xll.BDP(A267&amp;" AB Equity","LOW_52WEEK")</f>
        <v>6.21</v>
      </c>
      <c r="J267">
        <f>_xll.BDP(A267&amp;" AB Equity","VOLUME")</f>
        <v>393489</v>
      </c>
      <c r="K267">
        <f>_xll.BDP(A267&amp;" AB Equity","OPEN")</f>
        <v>6.5</v>
      </c>
      <c r="L267">
        <f>_xll.BDP(A267&amp;" AB Equity","LOW")</f>
        <v>6.45</v>
      </c>
      <c r="M267">
        <f>_xll.BDP(A267&amp;" AB Equity","HIGH")</f>
        <v>6.61</v>
      </c>
      <c r="N267">
        <f>_xll.BDP(A267&amp;" AB Equity","VWAP")</f>
        <v>6.5681000000000003</v>
      </c>
      <c r="O267" t="str">
        <f>_xll.BDP(A267&amp;" AB Equity","SAUDI_ARABIA_EXCHANGE_ID")</f>
        <v>7204</v>
      </c>
      <c r="P267">
        <f>_xll.BDP(A267&amp;" AB Equity","VOLUME_AVG_30D")</f>
        <v>738654.6</v>
      </c>
      <c r="Q267">
        <f>_xll.BDP(A267&amp;" AB Equity","BID")</f>
        <v>6.57</v>
      </c>
      <c r="R267">
        <f>_xll.BDP(A267&amp;" AB Equity","ASK")</f>
        <v>6.59</v>
      </c>
      <c r="S267">
        <f>_xll.BDP(A267&amp;" AB Equity","CHG_PCT_MOV_AVG_200D")</f>
        <v>-18.708749999999998</v>
      </c>
      <c r="T267">
        <f>_xll.BDP(A267&amp;" AB Equity","HIGH_30D")</f>
        <v>7.26</v>
      </c>
      <c r="U267">
        <f>_xll.BDP(A267&amp;" AB Equity","LOW_30D")</f>
        <v>6.35</v>
      </c>
      <c r="V267" s="11" t="str" cm="1">
        <f t="array" aca="1" ref="V267" ca="1">_xll.BDH(A267&amp;" AB Equity","MOV_AVG_200D",TODAY()-32,TODAY()-32,"Days=T")</f>
        <v>#N/A N/A</v>
      </c>
      <c r="W267">
        <v>11.479100000000001</v>
      </c>
      <c r="X267">
        <f>IF(B267="","",_xlfn.SINGLE(_xll.BDP(A267&amp;" AB Equity","MOV_AVG_200D")))</f>
        <v>8.0820500000000006</v>
      </c>
    </row>
    <row r="268" spans="1:24" x14ac:dyDescent="0.25">
      <c r="A268" t="s">
        <v>272</v>
      </c>
      <c r="B268">
        <f>_xll.BDP(A268&amp;" AB Equity","LAST_PRICE")</f>
        <v>232.8</v>
      </c>
      <c r="C268">
        <f>_xll.BDP(A268&amp;" AB Equity","LAST_PRICE")</f>
        <v>232.8</v>
      </c>
      <c r="D268">
        <f>_xll.BDP(A268&amp;" AB Equity","RT_PX_CHG_PCT_1D")</f>
        <v>1.7927000522613525</v>
      </c>
      <c r="E268">
        <f>_xll.BDP(A268&amp;" AB Equity","CHG_PCT_1M_RT")</f>
        <v>24.492000000000001</v>
      </c>
      <c r="F268">
        <f>_xll.BDP(A268&amp;" AB Equity","CHG_PCT_YTD_RT")</f>
        <v>33.793100000000003</v>
      </c>
      <c r="G268">
        <f>_xll.BDP(A268&amp;" AB Equity","YEST_LAST_TRADE")</f>
        <v>228.7</v>
      </c>
      <c r="H268">
        <f>_xll.BDP(A268&amp;" AB Equity","HIGH_52WEEK")</f>
        <v>235</v>
      </c>
      <c r="I268">
        <f>_xll.BDP(A268&amp;" AB Equity","LOW_52WEEK")</f>
        <v>126.7</v>
      </c>
      <c r="J268">
        <f>_xll.BDP(A268&amp;" AB Equity","VOLUME")</f>
        <v>81437</v>
      </c>
      <c r="K268">
        <f>_xll.BDP(A268&amp;" AB Equity","OPEN")</f>
        <v>230</v>
      </c>
      <c r="L268">
        <f>_xll.BDP(A268&amp;" AB Equity","LOW")</f>
        <v>228.6</v>
      </c>
      <c r="M268">
        <f>_xll.BDP(A268&amp;" AB Equity","HIGH")</f>
        <v>235</v>
      </c>
      <c r="N268">
        <f>_xll.BDP(A268&amp;" AB Equity","VWAP")</f>
        <v>231.4753</v>
      </c>
      <c r="O268" t="str">
        <f>_xll.BDP(A268&amp;" AB Equity","SAUDI_ARABIA_EXCHANGE_ID")</f>
        <v>7200</v>
      </c>
      <c r="P268">
        <f>_xll.BDP(A268&amp;" AB Equity","VOLUME_AVG_30D")</f>
        <v>76643.03</v>
      </c>
      <c r="Q268">
        <f>_xll.BDP(A268&amp;" AB Equity","BID")</f>
        <v>232.8</v>
      </c>
      <c r="R268">
        <f>_xll.BDP(A268&amp;" AB Equity","ASK")</f>
        <v>233.4</v>
      </c>
      <c r="S268">
        <f>_xll.BDP(A268&amp;" AB Equity","CHG_PCT_MOV_AVG_200D")</f>
        <v>40.778320000000001</v>
      </c>
      <c r="T268">
        <f>_xll.BDP(A268&amp;" AB Equity","HIGH_30D")</f>
        <v>234</v>
      </c>
      <c r="U268">
        <f>_xll.BDP(A268&amp;" AB Equity","LOW_30D")</f>
        <v>182.9</v>
      </c>
      <c r="V268" s="11" t="str" cm="1">
        <f t="array" aca="1" ref="V268" ca="1">_xll.BDH(A268&amp;" AB Equity","MOV_AVG_200D",TODAY()-32,TODAY()-32,"Days=T")</f>
        <v>#N/A N/A</v>
      </c>
      <c r="W268">
        <v>11.4648</v>
      </c>
      <c r="X268">
        <f>IF(B268="","",_xlfn.SINGLE(_xll.BDP(A268&amp;" AB Equity","MOV_AVG_200D")))</f>
        <v>164.58500000000001</v>
      </c>
    </row>
    <row r="269" spans="1:24" x14ac:dyDescent="0.25">
      <c r="A269" t="s">
        <v>273</v>
      </c>
      <c r="B269">
        <f>_xll.BDP(A269&amp;" AB Equity","LAST_PRICE")</f>
        <v>687</v>
      </c>
      <c r="C269">
        <f>_xll.BDP(A269&amp;" AB Equity","LAST_PRICE")</f>
        <v>687</v>
      </c>
      <c r="D269">
        <f>_xll.BDP(A269&amp;" AB Equity","RT_PX_CHG_PCT_1D")</f>
        <v>0.21879999339580536</v>
      </c>
      <c r="E269">
        <f>_xll.BDP(A269&amp;" AB Equity","CHG_PCT_1M_RT")</f>
        <v>-2.4148000000000001</v>
      </c>
      <c r="F269">
        <f>_xll.BDP(A269&amp;" AB Equity","CHG_PCT_YTD_RT")</f>
        <v>-8.1550999999999991</v>
      </c>
      <c r="G269">
        <f>_xll.BDP(A269&amp;" AB Equity","YEST_LAST_TRADE")</f>
        <v>685.5</v>
      </c>
      <c r="H269">
        <f>_xll.BDP(A269&amp;" AB Equity","HIGH_52WEEK")</f>
        <v>1025</v>
      </c>
      <c r="I269">
        <f>_xll.BDP(A269&amp;" AB Equity","LOW_52WEEK")</f>
        <v>504.5</v>
      </c>
      <c r="J269">
        <f>_xll.BDP(A269&amp;" AB Equity","VOLUME")</f>
        <v>82365</v>
      </c>
      <c r="K269">
        <f>_xll.BDP(A269&amp;" AB Equity","OPEN")</f>
        <v>687.5</v>
      </c>
      <c r="L269">
        <f>_xll.BDP(A269&amp;" AB Equity","LOW")</f>
        <v>679.5</v>
      </c>
      <c r="M269">
        <f>_xll.BDP(A269&amp;" AB Equity","HIGH")</f>
        <v>690</v>
      </c>
      <c r="N269">
        <f>_xll.BDP(A269&amp;" AB Equity","VWAP")</f>
        <v>685.33079999999995</v>
      </c>
      <c r="O269" t="str">
        <f>_xll.BDP(A269&amp;" AB Equity","SAUDI_ARABIA_EXCHANGE_ID")</f>
        <v>7203</v>
      </c>
      <c r="P269">
        <f>_xll.BDP(A269&amp;" AB Equity","VOLUME_AVG_30D")</f>
        <v>116265.3</v>
      </c>
      <c r="Q269">
        <f>_xll.BDP(A269&amp;" AB Equity","BID")</f>
        <v>687</v>
      </c>
      <c r="R269">
        <f>_xll.BDP(A269&amp;" AB Equity","ASK")</f>
        <v>687.5</v>
      </c>
      <c r="S269">
        <f>_xll.BDP(A269&amp;" AB Equity","CHG_PCT_MOV_AVG_200D")</f>
        <v>-7.1364219999999996</v>
      </c>
      <c r="T269">
        <f>_xll.BDP(A269&amp;" AB Equity","HIGH_30D")</f>
        <v>739</v>
      </c>
      <c r="U269">
        <f>_xll.BDP(A269&amp;" AB Equity","LOW_30D")</f>
        <v>658.5</v>
      </c>
      <c r="V269" s="11" t="str" cm="1">
        <f t="array" aca="1" ref="V269" ca="1">_xll.BDH(A269&amp;" AB Equity","MOV_AVG_200D",TODAY()-32,TODAY()-32,"Days=T")</f>
        <v>#N/A N/A</v>
      </c>
      <c r="W269">
        <v>12.307700000000001</v>
      </c>
      <c r="X269">
        <f>IF(B269="","",_xlfn.SINGLE(_xll.BDP(A269&amp;" AB Equity","MOV_AVG_200D")))</f>
        <v>735.48749999999995</v>
      </c>
    </row>
    <row r="270" spans="1:24" x14ac:dyDescent="0.25">
      <c r="A270" t="s">
        <v>274</v>
      </c>
      <c r="B270">
        <f>_xll.BDP(A270&amp;" AB Equity","LAST_PRICE")</f>
        <v>204.3</v>
      </c>
      <c r="C270">
        <f>_xll.BDP(A270&amp;" AB Equity","LAST_PRICE")</f>
        <v>204.3</v>
      </c>
      <c r="D270">
        <f>_xll.BDP(A270&amp;" AB Equity","RT_PX_CHG_PCT_1D")</f>
        <v>-0.19539999961853027</v>
      </c>
      <c r="E270">
        <f>_xll.BDP(A270&amp;" AB Equity","CHG_PCT_1M_RT")</f>
        <v>-5.7222</v>
      </c>
      <c r="F270">
        <f>_xll.BDP(A270&amp;" AB Equity","CHG_PCT_YTD_RT")</f>
        <v>-9.2402999999999995</v>
      </c>
      <c r="G270">
        <f>_xll.BDP(A270&amp;" AB Equity","YEST_LAST_TRADE")</f>
        <v>204.7</v>
      </c>
      <c r="H270">
        <f>_xll.BDP(A270&amp;" AB Equity","HIGH_52WEEK")</f>
        <v>272</v>
      </c>
      <c r="I270">
        <f>_xll.BDP(A270&amp;" AB Equity","LOW_52WEEK")</f>
        <v>170.1</v>
      </c>
      <c r="J270">
        <f>_xll.BDP(A270&amp;" AB Equity","VOLUME")</f>
        <v>66621</v>
      </c>
      <c r="K270">
        <f>_xll.BDP(A270&amp;" AB Equity","OPEN")</f>
        <v>204.7</v>
      </c>
      <c r="L270">
        <f>_xll.BDP(A270&amp;" AB Equity","LOW")</f>
        <v>203.6</v>
      </c>
      <c r="M270">
        <f>_xll.BDP(A270&amp;" AB Equity","HIGH")</f>
        <v>205.7</v>
      </c>
      <c r="N270">
        <f>_xll.BDP(A270&amp;" AB Equity","VWAP")</f>
        <v>204.8032</v>
      </c>
      <c r="O270" t="str">
        <f>_xll.BDP(A270&amp;" AB Equity","SAUDI_ARABIA_EXCHANGE_ID")</f>
        <v>7202</v>
      </c>
      <c r="P270">
        <f>_xll.BDP(A270&amp;" AB Equity","VOLUME_AVG_30D")</f>
        <v>125699.4</v>
      </c>
      <c r="Q270">
        <f>_xll.BDP(A270&amp;" AB Equity","BID")</f>
        <v>204.3</v>
      </c>
      <c r="R270">
        <f>_xll.BDP(A270&amp;" AB Equity","ASK")</f>
        <v>204.9</v>
      </c>
      <c r="S270">
        <f>_xll.BDP(A270&amp;" AB Equity","CHG_PCT_MOV_AVG_200D")</f>
        <v>-8.6588930000000008</v>
      </c>
      <c r="T270">
        <f>_xll.BDP(A270&amp;" AB Equity","HIGH_30D")</f>
        <v>231.2</v>
      </c>
      <c r="U270">
        <f>_xll.BDP(A270&amp;" AB Equity","LOW_30D")</f>
        <v>204.2</v>
      </c>
      <c r="V270" s="11" t="str" cm="1">
        <f t="array" aca="1" ref="V270" ca="1">_xll.BDH(A270&amp;" AB Equity","MOV_AVG_200D",TODAY()-32,TODAY()-32,"Days=T")</f>
        <v>#N/A N/A</v>
      </c>
      <c r="W270">
        <v>233.10650000000001</v>
      </c>
      <c r="X270">
        <f>IF(B270="","",_xlfn.SINGLE(_xll.BDP(A270&amp;" AB Equity","MOV_AVG_200D")))</f>
        <v>224.21449999999999</v>
      </c>
    </row>
    <row r="271" spans="1:24" x14ac:dyDescent="0.25">
      <c r="A271" t="s">
        <v>275</v>
      </c>
      <c r="B271">
        <f>_xll.BDP(A271&amp;" AB Equity","LAST_PRICE")</f>
        <v>21.42</v>
      </c>
      <c r="C271">
        <f>_xll.BDP(A271&amp;" AB Equity","LAST_PRICE")</f>
        <v>21.42</v>
      </c>
      <c r="D271">
        <f>_xll.BDP(A271&amp;" AB Equity","RT_PX_CHG_PCT_1D")</f>
        <v>0.65789997577667236</v>
      </c>
      <c r="E271">
        <f>_xll.BDP(A271&amp;" AB Equity","CHG_PCT_1M_RT")</f>
        <v>-8.3832000000000004</v>
      </c>
      <c r="F271">
        <f>_xll.BDP(A271&amp;" AB Equity","CHG_PCT_YTD_RT")</f>
        <v>-8.9285999999999994</v>
      </c>
      <c r="G271">
        <f>_xll.BDP(A271&amp;" AB Equity","YEST_LAST_TRADE")</f>
        <v>21.28</v>
      </c>
      <c r="H271">
        <f>_xll.BDP(A271&amp;" AB Equity","HIGH_52WEEK")</f>
        <v>32.5</v>
      </c>
      <c r="I271">
        <f>_xll.BDP(A271&amp;" AB Equity","LOW_52WEEK")</f>
        <v>20.97</v>
      </c>
      <c r="J271">
        <f>_xll.BDP(A271&amp;" AB Equity","VOLUME")</f>
        <v>71516</v>
      </c>
      <c r="K271">
        <f>_xll.BDP(A271&amp;" AB Equity","OPEN")</f>
        <v>21.07</v>
      </c>
      <c r="L271">
        <f>_xll.BDP(A271&amp;" AB Equity","LOW")</f>
        <v>21.07</v>
      </c>
      <c r="M271">
        <f>_xll.BDP(A271&amp;" AB Equity","HIGH")</f>
        <v>21.7</v>
      </c>
      <c r="N271">
        <f>_xll.BDP(A271&amp;" AB Equity","VWAP")</f>
        <v>21.459099999999999</v>
      </c>
      <c r="O271" t="str">
        <f>_xll.BDP(A271&amp;" AB Equity","SAUDI_ARABIA_EXCHANGE_ID")</f>
        <v>7211</v>
      </c>
      <c r="P271">
        <f>_xll.BDP(A271&amp;" AB Equity","VOLUME_AVG_30D")</f>
        <v>56860.959999999999</v>
      </c>
      <c r="Q271">
        <f>_xll.BDP(A271&amp;" AB Equity","BID")</f>
        <v>21.42</v>
      </c>
      <c r="R271">
        <f>_xll.BDP(A271&amp;" AB Equity","ASK")</f>
        <v>21.58</v>
      </c>
      <c r="S271">
        <f>_xll.BDP(A271&amp;" AB Equity","CHG_PCT_MOV_AVG_200D")</f>
        <v>-10.42137</v>
      </c>
      <c r="T271">
        <f>_xll.BDP(A271&amp;" AB Equity","HIGH_30D")</f>
        <v>23.84</v>
      </c>
      <c r="U271">
        <f>_xll.BDP(A271&amp;" AB Equity","LOW_30D")</f>
        <v>20.97</v>
      </c>
      <c r="V271" s="11" t="str" cm="1">
        <f t="array" aca="1" ref="V271" ca="1">_xll.BDH(A271&amp;" AB Equity","MOV_AVG_200D",TODAY()-32,TODAY()-32,"Days=T")</f>
        <v>#N/A N/A</v>
      </c>
      <c r="W271">
        <v>25.340299999999999</v>
      </c>
      <c r="X271">
        <f>IF(B271="","",_xlfn.SINGLE(_xll.BDP(A271&amp;" AB Equity","MOV_AVG_200D")))</f>
        <v>23.8673</v>
      </c>
    </row>
    <row r="272" spans="1:24" x14ac:dyDescent="0.25">
      <c r="A272" t="s">
        <v>276</v>
      </c>
      <c r="B272">
        <f>_xll.BDP(A272&amp;" AB Equity","LAST_PRICE")</f>
        <v>3.59</v>
      </c>
      <c r="C272">
        <f>_xll.BDP(A272&amp;" AB Equity","LAST_PRICE")</f>
        <v>3.59</v>
      </c>
      <c r="D272">
        <f>_xll.BDP(A272&amp;" AB Equity","RT_PX_CHG_PCT_1D")</f>
        <v>1.6996999979019165</v>
      </c>
      <c r="E272">
        <f>_xll.BDP(A272&amp;" AB Equity","CHG_PCT_1M_RT")</f>
        <v>7.4850000000000003</v>
      </c>
      <c r="F272">
        <f>_xll.BDP(A272&amp;" AB Equity","CHG_PCT_YTD_RT")</f>
        <v>-13.285</v>
      </c>
      <c r="G272">
        <f>_xll.BDP(A272&amp;" AB Equity","YEST_LAST_TRADE")</f>
        <v>3.53</v>
      </c>
      <c r="H272">
        <f>_xll.BDP(A272&amp;" AB Equity","HIGH_52WEEK")</f>
        <v>5.78</v>
      </c>
      <c r="I272">
        <f>_xll.BDP(A272&amp;" AB Equity","LOW_52WEEK")</f>
        <v>3.2</v>
      </c>
      <c r="J272">
        <f>_xll.BDP(A272&amp;" AB Equity","VOLUME")</f>
        <v>2589168</v>
      </c>
      <c r="K272">
        <f>_xll.BDP(A272&amp;" AB Equity","OPEN")</f>
        <v>3.55</v>
      </c>
      <c r="L272">
        <f>_xll.BDP(A272&amp;" AB Equity","LOW")</f>
        <v>3.51</v>
      </c>
      <c r="M272">
        <f>_xll.BDP(A272&amp;" AB Equity","HIGH")</f>
        <v>3.65</v>
      </c>
      <c r="N272">
        <f>_xll.BDP(A272&amp;" AB Equity","VWAP")</f>
        <v>3.5817999999999999</v>
      </c>
      <c r="O272" t="str">
        <f>_xll.BDP(A272&amp;" AB Equity","SAUDI_ARABIA_EXCHANGE_ID")</f>
        <v>7201</v>
      </c>
      <c r="P272">
        <f>_xll.BDP(A272&amp;" AB Equity","VOLUME_AVG_30D")</f>
        <v>856767.6</v>
      </c>
      <c r="Q272">
        <f>_xll.BDP(A272&amp;" AB Equity","BID")</f>
        <v>3.57</v>
      </c>
      <c r="R272">
        <f>_xll.BDP(A272&amp;" AB Equity","ASK")</f>
        <v>3.59</v>
      </c>
      <c r="S272">
        <f>_xll.BDP(A272&amp;" AB Equity","CHG_PCT_MOV_AVG_200D")</f>
        <v>-13.99335</v>
      </c>
      <c r="T272">
        <f>_xll.BDP(A272&amp;" AB Equity","HIGH_30D")</f>
        <v>3.64</v>
      </c>
      <c r="U272">
        <f>_xll.BDP(A272&amp;" AB Equity","LOW_30D")</f>
        <v>3.2</v>
      </c>
      <c r="V272" s="11" t="str" cm="1">
        <f t="array" aca="1" ref="V272" ca="1">_xll.BDH(A272&amp;" AB Equity","MOV_AVG_200D",TODAY()-32,TODAY()-32,"Days=T")</f>
        <v>#N/A N/A</v>
      </c>
      <c r="W272">
        <v>25.315100000000001</v>
      </c>
      <c r="X272">
        <f>IF(B272="","",_xlfn.SINGLE(_xll.BDP(A272&amp;" AB Equity","MOV_AVG_200D")))</f>
        <v>4.1973500000000001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60.45</v>
      </c>
      <c r="C274">
        <f>_xll.BDP(A274&amp;" AB Equity","LAST_PRICE")</f>
        <v>60.45</v>
      </c>
      <c r="D274">
        <f>_xll.BDP(A274&amp;" AB Equity","RT_PX_CHG_PCT_1D")</f>
        <v>0.16570000350475311</v>
      </c>
      <c r="E274">
        <f>_xll.BDP(A274&amp;" AB Equity","CHG_PCT_1M_RT")</f>
        <v>-4.0476000000000001</v>
      </c>
      <c r="F274">
        <f>_xll.BDP(A274&amp;" AB Equity","CHG_PCT_YTD_RT")</f>
        <v>-8.4091000000000005</v>
      </c>
      <c r="G274">
        <f>_xll.BDP(A274&amp;" AB Equity","YEST_LAST_TRADE")</f>
        <v>60.35</v>
      </c>
      <c r="H274">
        <f>_xll.BDP(A274&amp;" AB Equity","HIGH_52WEEK")</f>
        <v>71.599999999999994</v>
      </c>
      <c r="I274">
        <f>_xll.BDP(A274&amp;" AB Equity","LOW_52WEEK")</f>
        <v>54.9</v>
      </c>
      <c r="J274">
        <f>_xll.BDP(A274&amp;" AB Equity","VOLUME")</f>
        <v>1806511</v>
      </c>
      <c r="K274">
        <f>_xll.BDP(A274&amp;" AB Equity","OPEN")</f>
        <v>60</v>
      </c>
      <c r="L274">
        <f>_xll.BDP(A274&amp;" AB Equity","LOW")</f>
        <v>59.3</v>
      </c>
      <c r="M274">
        <f>_xll.BDP(A274&amp;" AB Equity","HIGH")</f>
        <v>60.45</v>
      </c>
      <c r="N274">
        <f>_xll.BDP(A274&amp;" AB Equity","VWAP")</f>
        <v>59.953400000000002</v>
      </c>
      <c r="O274" t="str">
        <f>_xll.BDP(A274&amp;" AB Equity","SAUDI_ARABIA_EXCHANGE_ID")</f>
        <v>7020</v>
      </c>
      <c r="P274">
        <f>_xll.BDP(A274&amp;" AB Equity","VOLUME_AVG_30D")</f>
        <v>914653</v>
      </c>
      <c r="Q274">
        <f>_xll.BDP(A274&amp;" AB Equity","BID")</f>
        <v>60.45</v>
      </c>
      <c r="R274">
        <f>_xll.BDP(A274&amp;" AB Equity","ASK")</f>
        <v>60.5</v>
      </c>
      <c r="S274">
        <f>_xll.BDP(A274&amp;" AB Equity","CHG_PCT_MOV_AVG_200D")</f>
        <v>-9.0867400000000007</v>
      </c>
      <c r="T274">
        <f>_xll.BDP(A274&amp;" AB Equity","HIGH_30D")</f>
        <v>67.75</v>
      </c>
      <c r="U274">
        <f>_xll.BDP(A274&amp;" AB Equity","LOW_30D")</f>
        <v>59.75</v>
      </c>
      <c r="V274" s="11" t="str" cm="1">
        <f t="array" aca="1" ref="V274" ca="1">_xll.BDH(A274&amp;" AB Equity","MOV_AVG_200D",TODAY()-32,TODAY()-32,"Days=T")</f>
        <v>#N/A N/A</v>
      </c>
      <c r="W274">
        <v>25.2639</v>
      </c>
      <c r="X274">
        <f>IF(B274="","",_xlfn.SINGLE(_xll.BDP(A274&amp;" AB Equity","MOV_AVG_200D")))</f>
        <v>65.447000000000003</v>
      </c>
    </row>
    <row r="275" spans="1:24" x14ac:dyDescent="0.25">
      <c r="A275" t="s">
        <v>279</v>
      </c>
      <c r="B275">
        <f>_xll.BDP(A275&amp;" AB Equity","LAST_PRICE")</f>
        <v>43.24</v>
      </c>
      <c r="C275">
        <f>_xll.BDP(A275&amp;" AB Equity","LAST_PRICE")</f>
        <v>43.24</v>
      </c>
      <c r="D275">
        <f>_xll.BDP(A275&amp;" AB Equity","RT_PX_CHG_PCT_1D")</f>
        <v>-1.278499960899353</v>
      </c>
      <c r="E275">
        <f>_xll.BDP(A275&amp;" AB Equity","CHG_PCT_1M_RT")</f>
        <v>-1.7273000000000001</v>
      </c>
      <c r="F275">
        <f>_xll.BDP(A275&amp;" AB Equity","CHG_PCT_YTD_RT")</f>
        <v>0.60489999999999999</v>
      </c>
      <c r="G275">
        <f>_xll.BDP(A275&amp;" AB Equity","YEST_LAST_TRADE")</f>
        <v>43.8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3655102</v>
      </c>
      <c r="K275">
        <f>_xll.BDP(A275&amp;" AB Equity","OPEN")</f>
        <v>43.8</v>
      </c>
      <c r="L275">
        <f>_xll.BDP(A275&amp;" AB Equity","LOW")</f>
        <v>43.24</v>
      </c>
      <c r="M275">
        <f>_xll.BDP(A275&amp;" AB Equity","HIGH")</f>
        <v>43.8</v>
      </c>
      <c r="N275">
        <f>_xll.BDP(A275&amp;" AB Equity","VWAP")</f>
        <v>43.431600000000003</v>
      </c>
      <c r="O275" t="str">
        <f>_xll.BDP(A275&amp;" AB Equity","SAUDI_ARABIA_EXCHANGE_ID")</f>
        <v>7010</v>
      </c>
      <c r="P275">
        <f>_xll.BDP(A275&amp;" AB Equity","VOLUME_AVG_30D")</f>
        <v>2555273</v>
      </c>
      <c r="Q275">
        <f>_xll.BDP(A275&amp;" AB Equity","BID")</f>
        <v>43.24</v>
      </c>
      <c r="R275">
        <f>_xll.BDP(A275&amp;" AB Equity","ASK")</f>
        <v>43.36</v>
      </c>
      <c r="S275">
        <f>_xll.BDP(A275&amp;" AB Equity","CHG_PCT_MOV_AVG_200D")</f>
        <v>0.53636349999999999</v>
      </c>
      <c r="T275">
        <f>_xll.BDP(A275&amp;" AB Equity","HIGH_30D")</f>
        <v>44.88</v>
      </c>
      <c r="U275">
        <f>_xll.BDP(A275&amp;" AB Equity","LOW_30D")</f>
        <v>42.98</v>
      </c>
      <c r="V275" s="11" t="str" cm="1">
        <f t="array" aca="1" ref="V275" ca="1">_xll.BDH(A275&amp;" AB Equity","MOV_AVG_200D",TODAY()-32,TODAY()-32,"Days=T")</f>
        <v>#N/A N/A</v>
      </c>
      <c r="W275">
        <v>25.236499999999999</v>
      </c>
      <c r="X275">
        <f>IF(B275="","",_xlfn.SINGLE(_xll.BDP(A275&amp;" AB Equity","MOV_AVG_200D")))</f>
        <v>43.347499999999997</v>
      </c>
    </row>
    <row r="276" spans="1:24" x14ac:dyDescent="0.25">
      <c r="A276" t="s">
        <v>280</v>
      </c>
      <c r="B276">
        <f>_xll.BDP(A276&amp;" AB Equity","LAST_PRICE")</f>
        <v>10.57</v>
      </c>
      <c r="C276">
        <f>_xll.BDP(A276&amp;" AB Equity","LAST_PRICE")</f>
        <v>10.57</v>
      </c>
      <c r="D276">
        <f>_xll.BDP(A276&amp;" AB Equity","RT_PX_CHG_PCT_1D")</f>
        <v>-1.122499942779541</v>
      </c>
      <c r="E276">
        <f>_xll.BDP(A276&amp;" AB Equity","CHG_PCT_1M_RT")</f>
        <v>-3.0274999999999999</v>
      </c>
      <c r="F276">
        <f>_xll.BDP(A276&amp;" AB Equity","CHG_PCT_YTD_RT")</f>
        <v>1.3423</v>
      </c>
      <c r="G276">
        <f>_xll.BDP(A276&amp;" AB Equity","YEST_LAST_TRADE")</f>
        <v>10.69</v>
      </c>
      <c r="H276">
        <f>_xll.BDP(A276&amp;" AB Equity","HIGH_52WEEK")</f>
        <v>12.1</v>
      </c>
      <c r="I276">
        <f>_xll.BDP(A276&amp;" AB Equity","LOW_52WEEK")</f>
        <v>10.14</v>
      </c>
      <c r="J276">
        <f>_xll.BDP(A276&amp;" AB Equity","VOLUME")</f>
        <v>3132618</v>
      </c>
      <c r="K276">
        <f>_xll.BDP(A276&amp;" AB Equity","OPEN")</f>
        <v>10.69</v>
      </c>
      <c r="L276">
        <f>_xll.BDP(A276&amp;" AB Equity","LOW")</f>
        <v>10.57</v>
      </c>
      <c r="M276">
        <f>_xll.BDP(A276&amp;" AB Equity","HIGH")</f>
        <v>10.7</v>
      </c>
      <c r="N276">
        <f>_xll.BDP(A276&amp;" AB Equity","VWAP")</f>
        <v>10.623900000000001</v>
      </c>
      <c r="O276" t="str">
        <f>_xll.BDP(A276&amp;" AB Equity","SAUDI_ARABIA_EXCHANGE_ID")</f>
        <v>7030</v>
      </c>
      <c r="P276">
        <f>_xll.BDP(A276&amp;" AB Equity","VOLUME_AVG_30D")</f>
        <v>2269260</v>
      </c>
      <c r="Q276">
        <f>_xll.BDP(A276&amp;" AB Equity","BID")</f>
        <v>10.57</v>
      </c>
      <c r="R276">
        <f>_xll.BDP(A276&amp;" AB Equity","ASK")</f>
        <v>10.58</v>
      </c>
      <c r="S276">
        <f>_xll.BDP(A276&amp;" AB Equity","CHG_PCT_MOV_AVG_200D")</f>
        <v>-3.7135820000000002</v>
      </c>
      <c r="T276">
        <f>_xll.BDP(A276&amp;" AB Equity","HIGH_30D")</f>
        <v>11.2</v>
      </c>
      <c r="U276">
        <f>_xll.BDP(A276&amp;" AB Equity","LOW_30D")</f>
        <v>10.54</v>
      </c>
      <c r="V276" s="11" t="str" cm="1">
        <f t="array" aca="1" ref="V276" ca="1">_xll.BDH(A276&amp;" AB Equity","MOV_AVG_200D",TODAY()-32,TODAY()-32,"Days=T")</f>
        <v>#N/A N/A</v>
      </c>
      <c r="W276">
        <v>25.209599999999998</v>
      </c>
      <c r="X276">
        <f>IF(B276="","",_xlfn.SINGLE(_xll.BDP(A276&amp;" AB Equity","MOV_AVG_200D")))</f>
        <v>11.060750000000001</v>
      </c>
    </row>
    <row r="277" spans="1:24" x14ac:dyDescent="0.25">
      <c r="A277" t="s">
        <v>281</v>
      </c>
      <c r="B277">
        <f>_xll.BDP(A277&amp;" AB Equity","LAST_PRICE")</f>
        <v>89.25</v>
      </c>
      <c r="C277">
        <f>_xll.BDP(A277&amp;" AB Equity","LAST_PRICE")</f>
        <v>89.25</v>
      </c>
      <c r="D277">
        <f>_xll.BDP(A277&amp;" AB Equity","RT_PX_CHG_PCT_1D")</f>
        <v>-0.88840001821517944</v>
      </c>
      <c r="E277">
        <f>_xll.BDP(A277&amp;" AB Equity","CHG_PCT_1M_RT")</f>
        <v>-4.8</v>
      </c>
      <c r="F277">
        <f>_xll.BDP(A277&amp;" AB Equity","CHG_PCT_YTD_RT")</f>
        <v>-1.3812</v>
      </c>
      <c r="G277">
        <f>_xll.BDP(A277&amp;" AB Equity","YEST_LAST_TRADE")</f>
        <v>90.05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196929</v>
      </c>
      <c r="K277">
        <f>_xll.BDP(A277&amp;" AB Equity","OPEN")</f>
        <v>90.35</v>
      </c>
      <c r="L277">
        <f>_xll.BDP(A277&amp;" AB Equity","LOW")</f>
        <v>89.25</v>
      </c>
      <c r="M277">
        <f>_xll.BDP(A277&amp;" AB Equity","HIGH")</f>
        <v>91.5</v>
      </c>
      <c r="N277">
        <f>_xll.BDP(A277&amp;" AB Equity","VWAP")</f>
        <v>90.242400000000004</v>
      </c>
      <c r="O277" t="str">
        <f>_xll.BDP(A277&amp;" AB Equity","SAUDI_ARABIA_EXCHANGE_ID")</f>
        <v>7040</v>
      </c>
      <c r="P277">
        <f>_xll.BDP(A277&amp;" AB Equity","VOLUME_AVG_30D")</f>
        <v>181827.20000000001</v>
      </c>
      <c r="Q277">
        <f>_xll.BDP(A277&amp;" AB Equity","BID")</f>
        <v>89.2</v>
      </c>
      <c r="R277">
        <f>_xll.BDP(A277&amp;" AB Equity","ASK")</f>
        <v>89.25</v>
      </c>
      <c r="S277">
        <f>_xll.BDP(A277&amp;" AB Equity","CHG_PCT_MOV_AVG_200D")</f>
        <v>-5.5674739999999998</v>
      </c>
      <c r="T277">
        <f>_xll.BDP(A277&amp;" AB Equity","HIGH_30D")</f>
        <v>100.8</v>
      </c>
      <c r="U277">
        <f>_xll.BDP(A277&amp;" AB Equity","LOW_30D")</f>
        <v>90</v>
      </c>
      <c r="V277" s="11" t="str" cm="1">
        <f t="array" aca="1" ref="V277" ca="1">_xll.BDH(A277&amp;" AB Equity","MOV_AVG_200D",TODAY()-32,TODAY()-32,"Days=T")</f>
        <v>#N/A N/A</v>
      </c>
      <c r="W277">
        <v>96.845699999999994</v>
      </c>
      <c r="X277">
        <f>IF(B277="","",_xlfn.SINGLE(_xll.BDP(A277&amp;" AB Equity","MOV_AVG_200D")))</f>
        <v>95.200249999999997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11.23</v>
      </c>
      <c r="C279">
        <f>_xll.BDP(A279&amp;" AB Equity","LAST_PRICE")</f>
        <v>11.23</v>
      </c>
      <c r="D279">
        <f>_xll.BDP(A279&amp;" AB Equity","RT_PX_CHG_PCT_1D")</f>
        <v>0.26789999008178711</v>
      </c>
      <c r="E279">
        <f>_xll.BDP(A279&amp;" AB Equity","CHG_PCT_1M_RT")</f>
        <v>-1.7498</v>
      </c>
      <c r="F279">
        <f>_xll.BDP(A279&amp;" AB Equity","CHG_PCT_YTD_RT")</f>
        <v>17.101099999999999</v>
      </c>
      <c r="G279">
        <f>_xll.BDP(A279&amp;" AB Equity","YEST_LAST_TRADE")</f>
        <v>11.2</v>
      </c>
      <c r="H279">
        <f>_xll.BDP(A279&amp;" AB Equity","HIGH_52WEEK")</f>
        <v>15</v>
      </c>
      <c r="I279">
        <f>_xll.BDP(A279&amp;" AB Equity","LOW_52WEEK")</f>
        <v>8</v>
      </c>
      <c r="J279">
        <f>_xll.BDP(A279&amp;" AB Equity","VOLUME")</f>
        <v>347060</v>
      </c>
      <c r="K279">
        <f>_xll.BDP(A279&amp;" AB Equity","OPEN")</f>
        <v>11.2</v>
      </c>
      <c r="L279">
        <f>_xll.BDP(A279&amp;" AB Equity","LOW")</f>
        <v>11.14</v>
      </c>
      <c r="M279">
        <f>_xll.BDP(A279&amp;" AB Equity","HIGH")</f>
        <v>11.29</v>
      </c>
      <c r="N279">
        <f>_xll.BDP(A279&amp;" AB Equity","VWAP")</f>
        <v>11.2281</v>
      </c>
      <c r="O279" t="str">
        <f>_xll.BDP(A279&amp;" AB Equity","SAUDI_ARABIA_EXCHANGE_ID")</f>
        <v>4040</v>
      </c>
      <c r="P279">
        <f>_xll.BDP(A279&amp;" AB Equity","VOLUME_AVG_30D")</f>
        <v>661958.30000000005</v>
      </c>
      <c r="Q279">
        <f>_xll.BDP(A279&amp;" AB Equity","BID")</f>
        <v>11.23</v>
      </c>
      <c r="R279">
        <f>_xll.BDP(A279&amp;" AB Equity","ASK")</f>
        <v>11.24</v>
      </c>
      <c r="S279">
        <f>_xll.BDP(A279&amp;" AB Equity","CHG_PCT_MOV_AVG_200D")</f>
        <v>2.8677589999999999</v>
      </c>
      <c r="T279">
        <f>_xll.BDP(A279&amp;" AB Equity","HIGH_30D")</f>
        <v>11.88</v>
      </c>
      <c r="U279">
        <f>_xll.BDP(A279&amp;" AB Equity","LOW_30D")</f>
        <v>10.5</v>
      </c>
      <c r="V279" s="11" t="str" cm="1">
        <f t="array" aca="1" ref="V279" ca="1">_xll.BDH(A279&amp;" AB Equity","MOV_AVG_200D",TODAY()-32,TODAY()-32,"Days=T")</f>
        <v>#N/A N/A</v>
      </c>
      <c r="W279">
        <v>96.817999999999998</v>
      </c>
      <c r="X279">
        <f>IF(B279="","",_xlfn.SINGLE(_xll.BDP(A279&amp;" AB Equity","MOV_AVG_200D")))</f>
        <v>10.92665</v>
      </c>
    </row>
    <row r="280" spans="1:24" x14ac:dyDescent="0.25">
      <c r="A280" t="s">
        <v>284</v>
      </c>
      <c r="B280">
        <f>_xll.BDP(A280&amp;" AB Equity","LAST_PRICE")</f>
        <v>32.700000000000003</v>
      </c>
      <c r="C280">
        <f>_xll.BDP(A280&amp;" AB Equity","LAST_PRICE")</f>
        <v>32.700000000000003</v>
      </c>
      <c r="D280">
        <f>_xll.BDP(A280&amp;" AB Equity","RT_PX_CHG_PCT_1D")</f>
        <v>0.86369997262954712</v>
      </c>
      <c r="E280">
        <f>_xll.BDP(A280&amp;" AB Equity","CHG_PCT_1M_RT")</f>
        <v>-7.3654000000000002</v>
      </c>
      <c r="F280">
        <f>_xll.BDP(A280&amp;" AB Equity","CHG_PCT_YTD_RT")</f>
        <v>-34.495199999999997</v>
      </c>
      <c r="G280">
        <f>_xll.BDP(A280&amp;" AB Equity","YEST_LAST_TRADE")</f>
        <v>32.42</v>
      </c>
      <c r="H280">
        <f>_xll.BDP(A280&amp;" AB Equity","HIGH_52WEEK")</f>
        <v>65</v>
      </c>
      <c r="I280">
        <f>_xll.BDP(A280&amp;" AB Equity","LOW_52WEEK")</f>
        <v>31.82</v>
      </c>
      <c r="J280">
        <f>_xll.BDP(A280&amp;" AB Equity","VOLUME")</f>
        <v>126962</v>
      </c>
      <c r="K280">
        <f>_xll.BDP(A280&amp;" AB Equity","OPEN")</f>
        <v>32.44</v>
      </c>
      <c r="L280">
        <f>_xll.BDP(A280&amp;" AB Equity","LOW")</f>
        <v>32.299999999999997</v>
      </c>
      <c r="M280">
        <f>_xll.BDP(A280&amp;" AB Equity","HIGH")</f>
        <v>32.82</v>
      </c>
      <c r="N280">
        <f>_xll.BDP(A280&amp;" AB Equity","VWAP")</f>
        <v>32.5991</v>
      </c>
      <c r="O280" t="str">
        <f>_xll.BDP(A280&amp;" AB Equity","SAUDI_ARABIA_EXCHANGE_ID")</f>
        <v>4262</v>
      </c>
      <c r="P280">
        <f>_xll.BDP(A280&amp;" AB Equity","VOLUME_AVG_30D")</f>
        <v>162966.5</v>
      </c>
      <c r="Q280">
        <f>_xll.BDP(A280&amp;" AB Equity","BID")</f>
        <v>32.700000000000003</v>
      </c>
      <c r="R280">
        <f>_xll.BDP(A280&amp;" AB Equity","ASK")</f>
        <v>32.799999999999997</v>
      </c>
      <c r="S280">
        <f>_xll.BDP(A280&amp;" AB Equity","CHG_PCT_MOV_AVG_200D")</f>
        <v>-30.73395</v>
      </c>
      <c r="T280">
        <f>_xll.BDP(A280&amp;" AB Equity","HIGH_30D")</f>
        <v>37.5</v>
      </c>
      <c r="U280">
        <f>_xll.BDP(A280&amp;" AB Equity","LOW_30D")</f>
        <v>31.82</v>
      </c>
      <c r="V280" s="11" t="str" cm="1">
        <f t="array" aca="1" ref="V280" ca="1">_xll.BDH(A280&amp;" AB Equity","MOV_AVG_200D",TODAY()-32,TODAY()-32,"Days=T")</f>
        <v>#N/A N/A</v>
      </c>
      <c r="W280">
        <v>96.790199999999999</v>
      </c>
      <c r="X280">
        <f>IF(B280="","",_xlfn.SINGLE(_xll.BDP(A280&amp;" AB Equity","MOV_AVG_200D")))</f>
        <v>47.180399999999999</v>
      </c>
    </row>
    <row r="281" spans="1:24" x14ac:dyDescent="0.25">
      <c r="A281" t="s">
        <v>285</v>
      </c>
      <c r="B281">
        <f>_xll.BDP(A281&amp;" AB Equity","LAST_PRICE")</f>
        <v>31.04</v>
      </c>
      <c r="C281">
        <f>_xll.BDP(A281&amp;" AB Equity","LAST_PRICE")</f>
        <v>31.04</v>
      </c>
      <c r="D281">
        <f>_xll.BDP(A281&amp;" AB Equity","RT_PX_CHG_PCT_1D")</f>
        <v>0</v>
      </c>
      <c r="E281">
        <f>_xll.BDP(A281&amp;" AB Equity","CHG_PCT_1M_RT")</f>
        <v>-3.6025</v>
      </c>
      <c r="F281">
        <f>_xll.BDP(A281&amp;" AB Equity","CHG_PCT_YTD_RT")</f>
        <v>-14.490399999999999</v>
      </c>
      <c r="G281">
        <f>_xll.BDP(A281&amp;" AB Equity","YEST_LAST_TRADE")</f>
        <v>31.04</v>
      </c>
      <c r="H281">
        <f>_xll.BDP(A281&amp;" AB Equity","HIGH_52WEEK")</f>
        <v>51.7</v>
      </c>
      <c r="I281">
        <f>_xll.BDP(A281&amp;" AB Equity","LOW_52WEEK")</f>
        <v>29.26</v>
      </c>
      <c r="J281">
        <f>_xll.BDP(A281&amp;" AB Equity","VOLUME")</f>
        <v>198064</v>
      </c>
      <c r="K281">
        <f>_xll.BDP(A281&amp;" AB Equity","OPEN")</f>
        <v>31.04</v>
      </c>
      <c r="L281">
        <f>_xll.BDP(A281&amp;" AB Equity","LOW")</f>
        <v>30.9</v>
      </c>
      <c r="M281">
        <f>_xll.BDP(A281&amp;" AB Equity","HIGH")</f>
        <v>31.28</v>
      </c>
      <c r="N281">
        <f>_xll.BDP(A281&amp;" AB Equity","VWAP")</f>
        <v>31.074000000000002</v>
      </c>
      <c r="O281" t="str">
        <f>_xll.BDP(A281&amp;" AB Equity","SAUDI_ARABIA_EXCHANGE_ID")</f>
        <v>4031</v>
      </c>
      <c r="P281">
        <f>_xll.BDP(A281&amp;" AB Equity","VOLUME_AVG_30D")</f>
        <v>614310.6</v>
      </c>
      <c r="Q281">
        <f>_xll.BDP(A281&amp;" AB Equity","BID")</f>
        <v>31</v>
      </c>
      <c r="R281">
        <f>_xll.BDP(A281&amp;" AB Equity","ASK")</f>
        <v>31.04</v>
      </c>
      <c r="S281">
        <f>_xll.BDP(A281&amp;" AB Equity","CHG_PCT_MOV_AVG_200D")</f>
        <v>-15.917439999999999</v>
      </c>
      <c r="T281">
        <f>_xll.BDP(A281&amp;" AB Equity","HIGH_30D")</f>
        <v>33.200000000000003</v>
      </c>
      <c r="U281">
        <f>_xll.BDP(A281&amp;" AB Equity","LOW_30D")</f>
        <v>29.78</v>
      </c>
      <c r="V281" s="11" t="str" cm="1">
        <f t="array" aca="1" ref="V281" ca="1">_xll.BDH(A281&amp;" AB Equity","MOV_AVG_200D",TODAY()-32,TODAY()-32,"Days=T")</f>
        <v>#N/A N/A</v>
      </c>
      <c r="W281">
        <v>96.766499999999994</v>
      </c>
      <c r="X281">
        <f>IF(B281="","",_xlfn.SINGLE(_xll.BDP(A281&amp;" AB Equity","MOV_AVG_200D")))</f>
        <v>36.9161</v>
      </c>
    </row>
    <row r="282" spans="1:24" x14ac:dyDescent="0.25">
      <c r="A282" t="s">
        <v>286</v>
      </c>
      <c r="B282">
        <f>_xll.BDP(A282&amp;" AB Equity","LAST_PRICE")</f>
        <v>180.1</v>
      </c>
      <c r="C282">
        <f>_xll.BDP(A282&amp;" AB Equity","LAST_PRICE")</f>
        <v>180.1</v>
      </c>
      <c r="D282">
        <f>_xll.BDP(A282&amp;" AB Equity","RT_PX_CHG_PCT_1D")</f>
        <v>0.72710001468658447</v>
      </c>
      <c r="E282">
        <f>_xll.BDP(A282&amp;" AB Equity","CHG_PCT_1M_RT")</f>
        <v>5.8167</v>
      </c>
      <c r="F282">
        <f>_xll.BDP(A282&amp;" AB Equity","CHG_PCT_YTD_RT")</f>
        <v>12.2818</v>
      </c>
      <c r="G282">
        <f>_xll.BDP(A282&amp;" AB Equity","YEST_LAST_TRADE")</f>
        <v>178.8</v>
      </c>
      <c r="H282">
        <f>_xll.BDP(A282&amp;" AB Equity","HIGH_52WEEK")</f>
        <v>192</v>
      </c>
      <c r="I282">
        <f>_xll.BDP(A282&amp;" AB Equity","LOW_52WEEK")</f>
        <v>148.19999999999999</v>
      </c>
      <c r="J282">
        <f>_xll.BDP(A282&amp;" AB Equity","VOLUME")</f>
        <v>126469</v>
      </c>
      <c r="K282">
        <f>_xll.BDP(A282&amp;" AB Equity","OPEN")</f>
        <v>178.8</v>
      </c>
      <c r="L282">
        <f>_xll.BDP(A282&amp;" AB Equity","LOW")</f>
        <v>176.2</v>
      </c>
      <c r="M282">
        <f>_xll.BDP(A282&amp;" AB Equity","HIGH")</f>
        <v>180.1</v>
      </c>
      <c r="N282">
        <f>_xll.BDP(A282&amp;" AB Equity","VWAP")</f>
        <v>178.83940000000001</v>
      </c>
      <c r="O282" t="str">
        <f>_xll.BDP(A282&amp;" AB Equity","SAUDI_ARABIA_EXCHANGE_ID")</f>
        <v>4263</v>
      </c>
      <c r="P282">
        <f>_xll.BDP(A282&amp;" AB Equity","VOLUME_AVG_30D")</f>
        <v>179485.8</v>
      </c>
      <c r="Q282">
        <f>_xll.BDP(A282&amp;" AB Equity","BID")</f>
        <v>178.7</v>
      </c>
      <c r="R282">
        <f>_xll.BDP(A282&amp;" AB Equity","ASK")</f>
        <v>180.1</v>
      </c>
      <c r="S282">
        <f>_xll.BDP(A282&amp;" AB Equity","CHG_PCT_MOV_AVG_200D")</f>
        <v>4.2135809999999996</v>
      </c>
      <c r="T282">
        <f>_xll.BDP(A282&amp;" AB Equity","HIGH_30D")</f>
        <v>186</v>
      </c>
      <c r="U282">
        <f>_xll.BDP(A282&amp;" AB Equity","LOW_30D")</f>
        <v>162.5</v>
      </c>
      <c r="V282" s="11" t="str" cm="1">
        <f t="array" aca="1" ref="V282" ca="1">_xll.BDH(A282&amp;" AB Equity","MOV_AVG_200D",TODAY()-32,TODAY()-32,"Days=T")</f>
        <v>#N/A N/A</v>
      </c>
      <c r="W282">
        <v>96.733999999999995</v>
      </c>
      <c r="X282">
        <f>IF(B282="","",_xlfn.SINGLE(_xll.BDP(A282&amp;" AB Equity","MOV_AVG_200D")))</f>
        <v>169.84350000000001</v>
      </c>
    </row>
    <row r="283" spans="1:24" x14ac:dyDescent="0.25">
      <c r="A283" t="s">
        <v>287</v>
      </c>
      <c r="B283">
        <f>_xll.BDP(A283&amp;" AB Equity","LAST_PRICE")</f>
        <v>55.7</v>
      </c>
      <c r="C283">
        <f>_xll.BDP(A283&amp;" AB Equity","LAST_PRICE")</f>
        <v>55.7</v>
      </c>
      <c r="D283">
        <f>_xll.BDP(A283&amp;" AB Equity","RT_PX_CHG_PCT_1D")</f>
        <v>-0.71299999952316284</v>
      </c>
      <c r="E283">
        <f>_xll.BDP(A283&amp;" AB Equity","CHG_PCT_1M_RT")</f>
        <v>5.3925999999999998</v>
      </c>
      <c r="F283">
        <f>_xll.BDP(A283&amp;" AB Equity","CHG_PCT_YTD_RT")</f>
        <v>-14.3736</v>
      </c>
      <c r="G283">
        <f>_xll.BDP(A283&amp;" AB Equity","YEST_LAST_TRADE")</f>
        <v>56.1</v>
      </c>
      <c r="H283">
        <f>_xll.BDP(A283&amp;" AB Equity","HIGH_52WEEK")</f>
        <v>82.8</v>
      </c>
      <c r="I283">
        <f>_xll.BDP(A283&amp;" AB Equity","LOW_52WEEK")</f>
        <v>48.2</v>
      </c>
      <c r="J283">
        <f>_xll.BDP(A283&amp;" AB Equity","VOLUME")</f>
        <v>310420</v>
      </c>
      <c r="K283">
        <f>_xll.BDP(A283&amp;" AB Equity","OPEN")</f>
        <v>56.1</v>
      </c>
      <c r="L283">
        <f>_xll.BDP(A283&amp;" AB Equity","LOW")</f>
        <v>55.25</v>
      </c>
      <c r="M283">
        <f>_xll.BDP(A283&amp;" AB Equity","HIGH")</f>
        <v>56.2</v>
      </c>
      <c r="N283">
        <f>_xll.BDP(A283&amp;" AB Equity","VWAP")</f>
        <v>55.584499999999998</v>
      </c>
      <c r="O283" t="str">
        <f>_xll.BDP(A283&amp;" AB Equity","SAUDI_ARABIA_EXCHANGE_ID")</f>
        <v>4264</v>
      </c>
      <c r="P283">
        <f>_xll.BDP(A283&amp;" AB Equity","VOLUME_AVG_30D")</f>
        <v>597341.69999999995</v>
      </c>
      <c r="Q283">
        <f>_xll.BDP(A283&amp;" AB Equity","BID")</f>
        <v>55.7</v>
      </c>
      <c r="R283">
        <f>_xll.BDP(A283&amp;" AB Equity","ASK")</f>
        <v>55.75</v>
      </c>
      <c r="S283">
        <f>_xll.BDP(A283&amp;" AB Equity","CHG_PCT_MOV_AVG_200D")</f>
        <v>-11.170529999999999</v>
      </c>
      <c r="T283">
        <f>_xll.BDP(A283&amp;" AB Equity","HIGH_30D")</f>
        <v>59.3</v>
      </c>
      <c r="U283">
        <f>_xll.BDP(A283&amp;" AB Equity","LOW_30D")</f>
        <v>50</v>
      </c>
      <c r="V283" s="11" t="str" cm="1">
        <f t="array" aca="1" ref="V283" ca="1">_xll.BDH(A283&amp;" AB Equity","MOV_AVG_200D",TODAY()-32,TODAY()-32,"Days=T")</f>
        <v>#N/A N/A</v>
      </c>
      <c r="W283">
        <v>53.3887</v>
      </c>
      <c r="X283">
        <f>IF(B283="","",_xlfn.SINGLE(_xll.BDP(A283&amp;" AB Equity","MOV_AVG_200D")))</f>
        <v>62.7607</v>
      </c>
    </row>
    <row r="284" spans="1:24" x14ac:dyDescent="0.25">
      <c r="A284" t="s">
        <v>288</v>
      </c>
      <c r="B284">
        <f>_xll.BDP(A284&amp;" AB Equity","LAST_PRICE")</f>
        <v>33.74</v>
      </c>
      <c r="C284">
        <f>_xll.BDP(A284&amp;" AB Equity","LAST_PRICE")</f>
        <v>33.74</v>
      </c>
      <c r="D284">
        <f>_xll.BDP(A284&amp;" AB Equity","RT_PX_CHG_PCT_1D")</f>
        <v>0</v>
      </c>
      <c r="E284">
        <f>_xll.BDP(A284&amp;" AB Equity","CHG_PCT_1M_RT")</f>
        <v>-3.0459999999999998</v>
      </c>
      <c r="F284">
        <f>_xll.BDP(A284&amp;" AB Equity","CHG_PCT_YTD_RT")</f>
        <v>8.2797999999999998</v>
      </c>
      <c r="G284">
        <f>_xll.BDP(A284&amp;" AB Equity","YEST_LAST_TRADE")</f>
        <v>33.74</v>
      </c>
      <c r="H284">
        <f>_xll.BDP(A284&amp;" AB Equity","HIGH_52WEEK")</f>
        <v>38.380000000000003</v>
      </c>
      <c r="I284">
        <f>_xll.BDP(A284&amp;" AB Equity","LOW_52WEEK")</f>
        <v>25.3</v>
      </c>
      <c r="J284">
        <f>_xll.BDP(A284&amp;" AB Equity","VOLUME")</f>
        <v>301685</v>
      </c>
      <c r="K284">
        <f>_xll.BDP(A284&amp;" AB Equity","OPEN")</f>
        <v>33.76</v>
      </c>
      <c r="L284">
        <f>_xll.BDP(A284&amp;" AB Equity","LOW")</f>
        <v>33.299999999999997</v>
      </c>
      <c r="M284">
        <f>_xll.BDP(A284&amp;" AB Equity","HIGH")</f>
        <v>34.24</v>
      </c>
      <c r="N284">
        <f>_xll.BDP(A284&amp;" AB Equity","VWAP")</f>
        <v>33.710599999999999</v>
      </c>
      <c r="O284" t="str">
        <f>_xll.BDP(A284&amp;" AB Equity","SAUDI_ARABIA_EXCHANGE_ID")</f>
        <v>2190</v>
      </c>
      <c r="P284">
        <f>_xll.BDP(A284&amp;" AB Equity","VOLUME_AVG_30D")</f>
        <v>455306.5</v>
      </c>
      <c r="Q284">
        <f>_xll.BDP(A284&amp;" AB Equity","BID")</f>
        <v>33.74</v>
      </c>
      <c r="R284">
        <f>_xll.BDP(A284&amp;" AB Equity","ASK")</f>
        <v>33.86</v>
      </c>
      <c r="S284">
        <f>_xll.BDP(A284&amp;" AB Equity","CHG_PCT_MOV_AVG_200D")</f>
        <v>4.0460649999999996</v>
      </c>
      <c r="T284">
        <f>_xll.BDP(A284&amp;" AB Equity","HIGH_30D")</f>
        <v>37.799999999999997</v>
      </c>
      <c r="U284">
        <f>_xll.BDP(A284&amp;" AB Equity","LOW_30D")</f>
        <v>32.4</v>
      </c>
      <c r="V284" s="11" t="str" cm="1">
        <f t="array" aca="1" ref="V284" ca="1">_xll.BDH(A284&amp;" AB Equity","MOV_AVG_200D",TODAY()-32,TODAY()-32,"Days=T")</f>
        <v>#N/A N/A</v>
      </c>
      <c r="W284">
        <v>32.445900000000002</v>
      </c>
      <c r="X284">
        <f>IF(B284="","",_xlfn.SINGLE(_xll.BDP(A284&amp;" AB Equity","MOV_AVG_200D")))</f>
        <v>32.5625</v>
      </c>
    </row>
    <row r="285" spans="1:24" x14ac:dyDescent="0.25">
      <c r="A285" t="s">
        <v>289</v>
      </c>
      <c r="B285">
        <f>_xll.BDP(A285&amp;" AB Equity","LAST_PRICE")</f>
        <v>30.2</v>
      </c>
      <c r="C285">
        <f>_xll.BDP(A285&amp;" AB Equity","LAST_PRICE")</f>
        <v>30.2</v>
      </c>
      <c r="D285">
        <f>_xll.BDP(A285&amp;" AB Equity","RT_PX_CHG_PCT_1D")</f>
        <v>-1.3071999549865723</v>
      </c>
      <c r="E285">
        <f>_xll.BDP(A285&amp;" AB Equity","CHG_PCT_1M_RT")</f>
        <v>-11.7475</v>
      </c>
      <c r="F285">
        <f>_xll.BDP(A285&amp;" AB Equity","CHG_PCT_YTD_RT")</f>
        <v>-35.470100000000002</v>
      </c>
      <c r="G285">
        <f>_xll.BDP(A285&amp;" AB Equity","YEST_LAST_TRADE")</f>
        <v>30.6</v>
      </c>
      <c r="H285">
        <f>_xll.BDP(A285&amp;" AB Equity","HIGH_52WEEK")</f>
        <v>59.213000000000001</v>
      </c>
      <c r="I285">
        <f>_xll.BDP(A285&amp;" AB Equity","LOW_52WEEK")</f>
        <v>30</v>
      </c>
      <c r="J285">
        <f>_xll.BDP(A285&amp;" AB Equity","VOLUME")</f>
        <v>1182396</v>
      </c>
      <c r="K285">
        <f>_xll.BDP(A285&amp;" AB Equity","OPEN")</f>
        <v>30.32</v>
      </c>
      <c r="L285">
        <f>_xll.BDP(A285&amp;" AB Equity","LOW")</f>
        <v>30</v>
      </c>
      <c r="M285">
        <f>_xll.BDP(A285&amp;" AB Equity","HIGH")</f>
        <v>30.52</v>
      </c>
      <c r="N285">
        <f>_xll.BDP(A285&amp;" AB Equity","VWAP")</f>
        <v>30.273</v>
      </c>
      <c r="O285" t="str">
        <f>_xll.BDP(A285&amp;" AB Equity","SAUDI_ARABIA_EXCHANGE_ID")</f>
        <v>4260</v>
      </c>
      <c r="P285">
        <f>_xll.BDP(A285&amp;" AB Equity","VOLUME_AVG_30D")</f>
        <v>419191.8</v>
      </c>
      <c r="Q285">
        <f>_xll.BDP(A285&amp;" AB Equity","BID")</f>
        <v>30.2</v>
      </c>
      <c r="R285">
        <f>_xll.BDP(A285&amp;" AB Equity","ASK")</f>
        <v>30.34</v>
      </c>
      <c r="S285">
        <f>_xll.BDP(A285&amp;" AB Equity","CHG_PCT_MOV_AVG_200D")</f>
        <v>-33.027389999999997</v>
      </c>
      <c r="T285">
        <f>_xll.BDP(A285&amp;" AB Equity","HIGH_30D")</f>
        <v>36.200000000000003</v>
      </c>
      <c r="U285">
        <f>_xll.BDP(A285&amp;" AB Equity","LOW_30D")</f>
        <v>30.32</v>
      </c>
      <c r="V285" s="11" t="str" cm="1">
        <f t="array" aca="1" ref="V285" ca="1">_xll.BDH(A285&amp;" AB Equity","MOV_AVG_200D",TODAY()-32,TODAY()-32,"Days=T")</f>
        <v>#N/A N/A</v>
      </c>
      <c r="W285">
        <v>32.475000000000001</v>
      </c>
      <c r="X285">
        <f>IF(B285="","",_xlfn.SINGLE(_xll.BDP(A285&amp;" AB Equity","MOV_AVG_200D")))</f>
        <v>45.391689999999997</v>
      </c>
    </row>
    <row r="286" spans="1:24" x14ac:dyDescent="0.25">
      <c r="A286" t="s">
        <v>290</v>
      </c>
      <c r="B286">
        <f>_xll.BDP(A286&amp;" AB Equity","LAST_PRICE")</f>
        <v>23.3</v>
      </c>
      <c r="C286">
        <f>_xll.BDP(A286&amp;" AB Equity","LAST_PRICE")</f>
        <v>23.3</v>
      </c>
      <c r="D286">
        <f>_xll.BDP(A286&amp;" AB Equity","RT_PX_CHG_PCT_1D")</f>
        <v>0</v>
      </c>
      <c r="E286">
        <f>_xll.BDP(A286&amp;" AB Equity","CHG_PCT_1M_RT")</f>
        <v>-9.1972000000000005</v>
      </c>
      <c r="F286">
        <f>_xll.BDP(A286&amp;" AB Equity","CHG_PCT_YTD_RT")</f>
        <v>-38.0319</v>
      </c>
      <c r="G286">
        <f>_xll.BDP(A286&amp;" AB Equity","YEST_LAST_TRADE")</f>
        <v>23.3</v>
      </c>
      <c r="H286">
        <f>_xll.BDP(A286&amp;" AB Equity","HIGH_52WEEK")</f>
        <v>45.732999999999997</v>
      </c>
      <c r="I286">
        <f>_xll.BDP(A286&amp;" AB Equity","LOW_52WEEK")</f>
        <v>23.06</v>
      </c>
      <c r="J286">
        <f>_xll.BDP(A286&amp;" AB Equity","VOLUME")</f>
        <v>497132</v>
      </c>
      <c r="K286">
        <f>_xll.BDP(A286&amp;" AB Equity","OPEN")</f>
        <v>23.3</v>
      </c>
      <c r="L286">
        <f>_xll.BDP(A286&amp;" AB Equity","LOW")</f>
        <v>23.18</v>
      </c>
      <c r="M286">
        <f>_xll.BDP(A286&amp;" AB Equity","HIGH")</f>
        <v>23.49</v>
      </c>
      <c r="N286">
        <f>_xll.BDP(A286&amp;" AB Equity","VWAP")</f>
        <v>23.3432</v>
      </c>
      <c r="O286" t="str">
        <f>_xll.BDP(A286&amp;" AB Equity","SAUDI_ARABIA_EXCHANGE_ID")</f>
        <v>4261</v>
      </c>
      <c r="P286">
        <f>_xll.BDP(A286&amp;" AB Equity","VOLUME_AVG_30D")</f>
        <v>675786.1</v>
      </c>
      <c r="Q286">
        <f>_xll.BDP(A286&amp;" AB Equity","BID")</f>
        <v>23.29</v>
      </c>
      <c r="R286">
        <f>_xll.BDP(A286&amp;" AB Equity","ASK")</f>
        <v>23.3</v>
      </c>
      <c r="S286">
        <f>_xll.BDP(A286&amp;" AB Equity","CHG_PCT_MOV_AVG_200D")</f>
        <v>-33.107019999999999</v>
      </c>
      <c r="T286">
        <f>_xll.BDP(A286&amp;" AB Equity","HIGH_30D")</f>
        <v>27.18</v>
      </c>
      <c r="U286">
        <f>_xll.BDP(A286&amp;" AB Equity","LOW_30D")</f>
        <v>23.06</v>
      </c>
      <c r="V286" s="11" t="str" cm="1">
        <f t="array" aca="1" ref="V286" ca="1">_xll.BDH(A286&amp;" AB Equity","MOV_AVG_200D",TODAY()-32,TODAY()-32,"Days=T")</f>
        <v>#N/A N/A</v>
      </c>
      <c r="W286">
        <v>32.4953</v>
      </c>
      <c r="X286">
        <f>IF(B286="","",_xlfn.SINGLE(_xll.BDP(A286&amp;" AB Equity","MOV_AVG_200D")))</f>
        <v>34.966299999999997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37.96</v>
      </c>
      <c r="C288">
        <f>_xll.BDP(A288&amp;" AB Equity","LAST_PRICE")</f>
        <v>37.96</v>
      </c>
      <c r="D288">
        <f>_xll.BDP(A288&amp;" AB Equity","RT_PX_CHG_PCT_1D")</f>
        <v>0.1582999974489212</v>
      </c>
      <c r="E288">
        <f>_xll.BDP(A288&amp;" AB Equity","CHG_PCT_1M_RT")</f>
        <v>-4.0445000000000002</v>
      </c>
      <c r="F288">
        <f>_xll.BDP(A288&amp;" AB Equity","CHG_PCT_YTD_RT")</f>
        <v>3.1522000000000001</v>
      </c>
      <c r="G288">
        <f>_xll.BDP(A288&amp;" AB Equity","YEST_LAST_TRADE")</f>
        <v>37.9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99952</v>
      </c>
      <c r="K288">
        <f>_xll.BDP(A288&amp;" AB Equity","OPEN")</f>
        <v>37.799999999999997</v>
      </c>
      <c r="L288">
        <f>_xll.BDP(A288&amp;" AB Equity","LOW")</f>
        <v>37.56</v>
      </c>
      <c r="M288">
        <f>_xll.BDP(A288&amp;" AB Equity","HIGH")</f>
        <v>38</v>
      </c>
      <c r="N288">
        <f>_xll.BDP(A288&amp;" AB Equity","VWAP")</f>
        <v>37.867199999999997</v>
      </c>
      <c r="O288" t="str">
        <f>_xll.BDP(A288&amp;" AB Equity","SAUDI_ARABIA_EXCHANGE_ID")</f>
        <v>2083</v>
      </c>
      <c r="P288">
        <f>_xll.BDP(A288&amp;" AB Equity","VOLUME_AVG_30D")</f>
        <v>276750.8</v>
      </c>
      <c r="Q288">
        <f>_xll.BDP(A288&amp;" AB Equity","BID")</f>
        <v>37.76</v>
      </c>
      <c r="R288">
        <f>_xll.BDP(A288&amp;" AB Equity","ASK")</f>
        <v>37.96</v>
      </c>
      <c r="S288">
        <f>_xll.BDP(A288&amp;" AB Equity","CHG_PCT_MOV_AVG_200D")</f>
        <v>3.6593049999999998</v>
      </c>
      <c r="T288">
        <f>_xll.BDP(A288&amp;" AB Equity","HIGH_30D")</f>
        <v>40.76</v>
      </c>
      <c r="U288">
        <f>_xll.BDP(A288&amp;" AB Equity","LOW_30D")</f>
        <v>37.5</v>
      </c>
      <c r="V288" s="11" t="str" cm="1">
        <f t="array" aca="1" ref="V288" ca="1">_xll.BDH(A288&amp;" AB Equity","MOV_AVG_200D",TODAY()-32,TODAY()-32,"Days=T")</f>
        <v>#N/A N/A</v>
      </c>
      <c r="W288">
        <v>32.510300000000001</v>
      </c>
      <c r="X288">
        <f>IF(B288="","",_xlfn.SINGLE(_xll.BDP(A288&amp;" AB Equity","MOV_AVG_200D")))</f>
        <v>36.504199999999997</v>
      </c>
    </row>
    <row r="289" spans="1:24" x14ac:dyDescent="0.25">
      <c r="A289" t="s">
        <v>293</v>
      </c>
      <c r="B289">
        <f>_xll.BDP(A289&amp;" AB Equity","LAST_PRICE")</f>
        <v>194</v>
      </c>
      <c r="C289">
        <f>_xll.BDP(A289&amp;" AB Equity","LAST_PRICE")</f>
        <v>194</v>
      </c>
      <c r="D289">
        <f>_xll.BDP(A289&amp;" AB Equity","RT_PX_CHG_PCT_1D")</f>
        <v>2.8087000846862793</v>
      </c>
      <c r="E289">
        <f>_xll.BDP(A289&amp;" AB Equity","CHG_PCT_1M_RT")</f>
        <v>1.6771</v>
      </c>
      <c r="F289">
        <f>_xll.BDP(A289&amp;" AB Equity","CHG_PCT_YTD_RT")</f>
        <v>6.7107000000000001</v>
      </c>
      <c r="G289">
        <f>_xll.BDP(A289&amp;" AB Equity","YEST_LAST_TRADE")</f>
        <v>188.7</v>
      </c>
      <c r="H289">
        <f>_xll.BDP(A289&amp;" AB Equity","HIGH_52WEEK")</f>
        <v>274.8</v>
      </c>
      <c r="I289">
        <f>_xll.BDP(A289&amp;" AB Equity","LOW_52WEEK")</f>
        <v>149.4</v>
      </c>
      <c r="J289">
        <f>_xll.BDP(A289&amp;" AB Equity","VOLUME")</f>
        <v>446965</v>
      </c>
      <c r="K289">
        <f>_xll.BDP(A289&amp;" AB Equity","OPEN")</f>
        <v>188.9</v>
      </c>
      <c r="L289">
        <f>_xll.BDP(A289&amp;" AB Equity","LOW")</f>
        <v>188.5</v>
      </c>
      <c r="M289">
        <f>_xll.BDP(A289&amp;" AB Equity","HIGH")</f>
        <v>194.5</v>
      </c>
      <c r="N289">
        <f>_xll.BDP(A289&amp;" AB Equity","VWAP")</f>
        <v>192.79259999999999</v>
      </c>
      <c r="O289" t="str">
        <f>_xll.BDP(A289&amp;" AB Equity","SAUDI_ARABIA_EXCHANGE_ID")</f>
        <v>2082</v>
      </c>
      <c r="P289">
        <f>_xll.BDP(A289&amp;" AB Equity","VOLUME_AVG_30D")</f>
        <v>1105939</v>
      </c>
      <c r="Q289">
        <f>_xll.BDP(A289&amp;" AB Equity","BID")</f>
        <v>192.6</v>
      </c>
      <c r="R289">
        <f>_xll.BDP(A289&amp;" AB Equity","ASK")</f>
        <v>194</v>
      </c>
      <c r="S289">
        <f>_xll.BDP(A289&amp;" AB Equity","CHG_PCT_MOV_AVG_200D")</f>
        <v>0.3210807</v>
      </c>
      <c r="T289">
        <f>_xll.BDP(A289&amp;" AB Equity","HIGH_30D")</f>
        <v>206.9</v>
      </c>
      <c r="U289">
        <f>_xll.BDP(A289&amp;" AB Equity","LOW_30D")</f>
        <v>174</v>
      </c>
      <c r="V289" s="11" t="str" cm="1">
        <f t="array" aca="1" ref="V289" ca="1">_xll.BDH(A289&amp;" AB Equity","MOV_AVG_200D",TODAY()-32,TODAY()-32,"Days=T")</f>
        <v>#N/A N/A</v>
      </c>
      <c r="W289">
        <v>32.5107</v>
      </c>
      <c r="X289">
        <f>IF(B289="","",_xlfn.SINGLE(_xll.BDP(A289&amp;" AB Equity","MOV_AVG_200D")))</f>
        <v>191.38550000000001</v>
      </c>
    </row>
    <row r="290" spans="1:24" x14ac:dyDescent="0.25">
      <c r="A290" t="s">
        <v>294</v>
      </c>
      <c r="B290">
        <f>_xll.BDP(A290&amp;" AB Equity","LAST_PRICE")</f>
        <v>110.6</v>
      </c>
      <c r="C290">
        <f>_xll.BDP(A290&amp;" AB Equity","LAST_PRICE")</f>
        <v>110.6</v>
      </c>
      <c r="D290">
        <f>_xll.BDP(A290&amp;" AB Equity","RT_PX_CHG_PCT_1D")</f>
        <v>-1.7762000560760498</v>
      </c>
      <c r="E290">
        <f>_xll.BDP(A290&amp;" AB Equity","CHG_PCT_1M_RT")</f>
        <v>-9.1207999999999991</v>
      </c>
      <c r="F290">
        <f>_xll.BDP(A290&amp;" AB Equity","CHG_PCT_YTD_RT")</f>
        <v>-17.769500000000001</v>
      </c>
      <c r="G290">
        <f>_xll.BDP(A290&amp;" AB Equity","YEST_LAST_TRADE")</f>
        <v>112.6</v>
      </c>
      <c r="H290">
        <f>_xll.BDP(A290&amp;" AB Equity","HIGH_52WEEK")</f>
        <v>157.19999999999999</v>
      </c>
      <c r="I290">
        <f>_xll.BDP(A290&amp;" AB Equity","LOW_52WEEK")</f>
        <v>108</v>
      </c>
      <c r="J290">
        <f>_xll.BDP(A290&amp;" AB Equity","VOLUME")</f>
        <v>88356</v>
      </c>
      <c r="K290">
        <f>_xll.BDP(A290&amp;" AB Equity","OPEN")</f>
        <v>113</v>
      </c>
      <c r="L290">
        <f>_xll.BDP(A290&amp;" AB Equity","LOW")</f>
        <v>110.5</v>
      </c>
      <c r="M290">
        <f>_xll.BDP(A290&amp;" AB Equity","HIGH")</f>
        <v>113.5</v>
      </c>
      <c r="N290">
        <f>_xll.BDP(A290&amp;" AB Equity","VWAP")</f>
        <v>111.5497</v>
      </c>
      <c r="O290" t="str">
        <f>_xll.BDP(A290&amp;" AB Equity","SAUDI_ARABIA_EXCHANGE_ID")</f>
        <v>2081</v>
      </c>
      <c r="P290">
        <f>_xll.BDP(A290&amp;" AB Equity","VOLUME_AVG_30D")</f>
        <v>84639.16</v>
      </c>
      <c r="Q290">
        <f>_xll.BDP(A290&amp;" AB Equity","BID")</f>
        <v>110.5</v>
      </c>
      <c r="R290">
        <f>_xll.BDP(A290&amp;" AB Equity","ASK")</f>
        <v>110.6</v>
      </c>
      <c r="S290">
        <f>_xll.BDP(A290&amp;" AB Equity","CHG_PCT_MOV_AVG_200D")</f>
        <v>-12.41743</v>
      </c>
      <c r="T290">
        <f>_xll.BDP(A290&amp;" AB Equity","HIGH_30D")</f>
        <v>124.7</v>
      </c>
      <c r="U290">
        <f>_xll.BDP(A290&amp;" AB Equity","LOW_30D")</f>
        <v>108</v>
      </c>
      <c r="V290" s="11" t="str" cm="1">
        <f t="array" aca="1" ref="V290" ca="1">_xll.BDH(A290&amp;" AB Equity","MOV_AVG_200D",TODAY()-32,TODAY()-32,"Days=T")</f>
        <v>#N/A N/A</v>
      </c>
      <c r="W290">
        <v>49.403500000000001</v>
      </c>
      <c r="X290">
        <f>IF(B290="","",_xlfn.SINGLE(_xll.BDP(A290&amp;" AB Equity","MOV_AVG_200D")))</f>
        <v>127.9935</v>
      </c>
    </row>
    <row r="291" spans="1:24" x14ac:dyDescent="0.25">
      <c r="A291" t="s">
        <v>295</v>
      </c>
      <c r="B291">
        <f>_xll.BDP(A291&amp;" AB Equity","LAST_PRICE")</f>
        <v>17.8</v>
      </c>
      <c r="C291">
        <f>_xll.BDP(A291&amp;" AB Equity","LAST_PRICE")</f>
        <v>17.8</v>
      </c>
      <c r="D291">
        <f>_xll.BDP(A291&amp;" AB Equity","RT_PX_CHG_PCT_1D")</f>
        <v>-1.1110999584197998</v>
      </c>
      <c r="E291">
        <f>_xll.BDP(A291&amp;" AB Equity","CHG_PCT_1M_RT")</f>
        <v>9.6734000000000009</v>
      </c>
      <c r="F291">
        <f>_xll.BDP(A291&amp;" AB Equity","CHG_PCT_YTD_RT")</f>
        <v>26.6904</v>
      </c>
      <c r="G291">
        <f>_xll.BDP(A291&amp;" AB Equity","YEST_LAST_TRADE")</f>
        <v>18</v>
      </c>
      <c r="H291">
        <f>_xll.BDP(A291&amp;" AB Equity","HIGH_52WEEK")</f>
        <v>18.48</v>
      </c>
      <c r="I291">
        <f>_xll.BDP(A291&amp;" AB Equity","LOW_52WEEK")</f>
        <v>13</v>
      </c>
      <c r="J291">
        <f>_xll.BDP(A291&amp;" AB Equity","VOLUME")</f>
        <v>847517</v>
      </c>
      <c r="K291">
        <f>_xll.BDP(A291&amp;" AB Equity","OPEN")</f>
        <v>18</v>
      </c>
      <c r="L291">
        <f>_xll.BDP(A291&amp;" AB Equity","LOW")</f>
        <v>17.63</v>
      </c>
      <c r="M291">
        <f>_xll.BDP(A291&amp;" AB Equity","HIGH")</f>
        <v>18</v>
      </c>
      <c r="N291">
        <f>_xll.BDP(A291&amp;" AB Equity","VWAP")</f>
        <v>17.765799999999999</v>
      </c>
      <c r="O291" t="str">
        <f>_xll.BDP(A291&amp;" AB Equity","SAUDI_ARABIA_EXCHANGE_ID")</f>
        <v>5110</v>
      </c>
      <c r="P291">
        <f>_xll.BDP(A291&amp;" AB Equity","VOLUME_AVG_30D")</f>
        <v>1639586</v>
      </c>
      <c r="Q291">
        <f>_xll.BDP(A291&amp;" AB Equity","BID")</f>
        <v>17.8</v>
      </c>
      <c r="R291">
        <f>_xll.BDP(A291&amp;" AB Equity","ASK")</f>
        <v>17.809999999999999</v>
      </c>
      <c r="S291">
        <f>_xll.BDP(A291&amp;" AB Equity","CHG_PCT_MOV_AVG_200D")</f>
        <v>15.538040000000001</v>
      </c>
      <c r="T291">
        <f>_xll.BDP(A291&amp;" AB Equity","HIGH_30D")</f>
        <v>18.48</v>
      </c>
      <c r="U291">
        <f>_xll.BDP(A291&amp;" AB Equity","LOW_30D")</f>
        <v>16.170000000000002</v>
      </c>
      <c r="V291" s="11" t="str" cm="1">
        <f t="array" aca="1" ref="V291" ca="1">_xll.BDH(A291&amp;" AB Equity","MOV_AVG_200D",TODAY()-32,TODAY()-32,"Days=T")</f>
        <v>#N/A N/A</v>
      </c>
      <c r="W291">
        <v>38.852899999999998</v>
      </c>
      <c r="X291">
        <f>IF(B291="","",_xlfn.SINGLE(_xll.BDP(A291&amp;" AB Equity","MOV_AVG_200D")))</f>
        <v>15.35425</v>
      </c>
    </row>
    <row r="292" spans="1:24" x14ac:dyDescent="0.25">
      <c r="A292" t="s">
        <v>296</v>
      </c>
      <c r="B292">
        <f>_xll.BDP(A292&amp;" AB Equity","LAST_PRICE")</f>
        <v>15.1</v>
      </c>
      <c r="C292">
        <f>_xll.BDP(A292&amp;" AB Equity","LAST_PRICE")</f>
        <v>15.1</v>
      </c>
      <c r="D292">
        <f>_xll.BDP(A292&amp;" AB Equity","RT_PX_CHG_PCT_1D")</f>
        <v>3.3538999557495117</v>
      </c>
      <c r="E292">
        <f>_xll.BDP(A292&amp;" AB Equity","CHG_PCT_1M_RT")</f>
        <v>-3.5760000000000001</v>
      </c>
      <c r="F292">
        <f>_xll.BDP(A292&amp;" AB Equity","CHG_PCT_YTD_RT")</f>
        <v>-15.7836</v>
      </c>
      <c r="G292">
        <f>_xll.BDP(A292&amp;" AB Equity","YEST_LAST_TRADE")</f>
        <v>14.61</v>
      </c>
      <c r="H292">
        <f>_xll.BDP(A292&amp;" AB Equity","HIGH_52WEEK")</f>
        <v>28.14</v>
      </c>
      <c r="I292">
        <f>_xll.BDP(A292&amp;" AB Equity","LOW_52WEEK")</f>
        <v>13.84</v>
      </c>
      <c r="J292">
        <f>_xll.BDP(A292&amp;" AB Equity","VOLUME")</f>
        <v>769924</v>
      </c>
      <c r="K292">
        <f>_xll.BDP(A292&amp;" AB Equity","OPEN")</f>
        <v>14.63</v>
      </c>
      <c r="L292">
        <f>_xll.BDP(A292&amp;" AB Equity","LOW")</f>
        <v>14.53</v>
      </c>
      <c r="M292">
        <f>_xll.BDP(A292&amp;" AB Equity","HIGH")</f>
        <v>15.36</v>
      </c>
      <c r="N292">
        <f>_xll.BDP(A292&amp;" AB Equity","VWAP")</f>
        <v>15.0097</v>
      </c>
      <c r="O292" t="str">
        <f>_xll.BDP(A292&amp;" AB Equity","SAUDI_ARABIA_EXCHANGE_ID")</f>
        <v>2084</v>
      </c>
      <c r="P292">
        <f>_xll.BDP(A292&amp;" AB Equity","VOLUME_AVG_30D")</f>
        <v>454713.9</v>
      </c>
      <c r="Q292">
        <f>_xll.BDP(A292&amp;" AB Equity","BID")</f>
        <v>15.08</v>
      </c>
      <c r="R292">
        <f>_xll.BDP(A292&amp;" AB Equity","ASK")</f>
        <v>15.1</v>
      </c>
      <c r="S292">
        <f>_xll.BDP(A292&amp;" AB Equity","CHG_PCT_MOV_AVG_200D")</f>
        <v>-21.016300000000001</v>
      </c>
      <c r="T292">
        <f>_xll.BDP(A292&amp;" AB Equity","HIGH_30D")</f>
        <v>16.600000000000001</v>
      </c>
      <c r="U292">
        <f>_xll.BDP(A292&amp;" AB Equity","LOW_30D")</f>
        <v>14.61</v>
      </c>
      <c r="V292" s="11" t="str" cm="1">
        <f t="array" aca="1" ref="V292" ca="1">_xll.BDH(A292&amp;" AB Equity","MOV_AVG_200D",TODAY()-32,TODAY()-32,"Days=T")</f>
        <v>#N/A N/A</v>
      </c>
      <c r="W292">
        <v>14.692399999999999</v>
      </c>
      <c r="X292">
        <f>IF(B292="","",_xlfn.SINGLE(_xll.BDP(A292&amp;" AB Equity","MOV_AVG_200D")))</f>
        <v>18.6874</v>
      </c>
    </row>
    <row r="293" spans="1:24" x14ac:dyDescent="0.25">
      <c r="A293" t="s">
        <v>297</v>
      </c>
      <c r="B293">
        <f>_xll.BDP(A293&amp;" AB Equity","LAST_PRICE")</f>
        <v>70.150000000000006</v>
      </c>
      <c r="C293">
        <f>_xll.BDP(A293&amp;" AB Equity","LAST_PRICE")</f>
        <v>70.150000000000006</v>
      </c>
      <c r="D293">
        <f>_xll.BDP(A293&amp;" AB Equity","RT_PX_CHG_PCT_1D")</f>
        <v>-0.98799997568130493</v>
      </c>
      <c r="E293">
        <f>_xll.BDP(A293&amp;" AB Equity","CHG_PCT_1M_RT")</f>
        <v>-10.0641</v>
      </c>
      <c r="F293">
        <f>_xll.BDP(A293&amp;" AB Equity","CHG_PCT_YTD_RT")</f>
        <v>-26.002099999999999</v>
      </c>
      <c r="G293">
        <f>_xll.BDP(A293&amp;" AB Equity","YEST_LAST_TRADE")</f>
        <v>70.849999999999994</v>
      </c>
      <c r="H293">
        <f>_xll.BDP(A293&amp;" AB Equity","HIGH_52WEEK")</f>
        <v>95.75</v>
      </c>
      <c r="I293">
        <f>_xll.BDP(A293&amp;" AB Equity","LOW_52WEEK")</f>
        <v>66.05</v>
      </c>
      <c r="J293">
        <f>_xll.BDP(A293&amp;" AB Equity","VOLUME")</f>
        <v>57496</v>
      </c>
      <c r="K293">
        <f>_xll.BDP(A293&amp;" AB Equity","OPEN")</f>
        <v>70.849999999999994</v>
      </c>
      <c r="L293">
        <f>_xll.BDP(A293&amp;" AB Equity","LOW")</f>
        <v>69.900000000000006</v>
      </c>
      <c r="M293">
        <f>_xll.BDP(A293&amp;" AB Equity","HIGH")</f>
        <v>70.900000000000006</v>
      </c>
      <c r="N293">
        <f>_xll.BDP(A293&amp;" AB Equity","VWAP")</f>
        <v>70.328800000000001</v>
      </c>
      <c r="O293" t="str">
        <f>_xll.BDP(A293&amp;" AB Equity","SAUDI_ARABIA_EXCHANGE_ID")</f>
        <v>2080</v>
      </c>
      <c r="P293">
        <f>_xll.BDP(A293&amp;" AB Equity","VOLUME_AVG_30D")</f>
        <v>74113.8</v>
      </c>
      <c r="Q293">
        <f>_xll.BDP(A293&amp;" AB Equity","BID")</f>
        <v>70.099999999999994</v>
      </c>
      <c r="R293">
        <f>_xll.BDP(A293&amp;" AB Equity","ASK")</f>
        <v>70.150000000000006</v>
      </c>
      <c r="S293">
        <f>_xll.BDP(A293&amp;" AB Equity","CHG_PCT_MOV_AVG_200D")</f>
        <v>-14.921150000000001</v>
      </c>
      <c r="T293">
        <f>_xll.BDP(A293&amp;" AB Equity","HIGH_30D")</f>
        <v>80.099999999999994</v>
      </c>
      <c r="U293">
        <f>_xll.BDP(A293&amp;" AB Equity","LOW_30D")</f>
        <v>70.5</v>
      </c>
      <c r="V293" s="11" t="str" cm="1">
        <f t="array" aca="1" ref="V293" ca="1">_xll.BDH(A293&amp;" AB Equity","MOV_AVG_200D",TODAY()-32,TODAY()-32,"Days=T")</f>
        <v>#N/A N/A</v>
      </c>
      <c r="W293">
        <v>81.971999999999994</v>
      </c>
      <c r="X293">
        <f>IF(B293="","",_xlfn.SINGLE(_xll.BDP(A293&amp;" AB Equity","MOV_AVG_200D")))</f>
        <v>82.688000000000002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14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278:U278"/>
    <mergeCell ref="A287:U287"/>
    <mergeCell ref="A240:U240"/>
    <mergeCell ref="A245:U245"/>
    <mergeCell ref="A249:U249"/>
    <mergeCell ref="A266:U266"/>
    <mergeCell ref="A273:U273"/>
    <mergeCell ref="A126:U126"/>
    <mergeCell ref="A149:U149"/>
    <mergeCell ref="A162:U162"/>
    <mergeCell ref="A164:U164"/>
    <mergeCell ref="A191:U191"/>
    <mergeCell ref="A61:U61"/>
    <mergeCell ref="A79:U79"/>
    <mergeCell ref="A88:U88"/>
    <mergeCell ref="A95:U95"/>
    <mergeCell ref="A115:U115"/>
    <mergeCell ref="A3:U3"/>
    <mergeCell ref="A14:U14"/>
    <mergeCell ref="A33:U33"/>
    <mergeCell ref="A41:U41"/>
    <mergeCell ref="A54:U54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2026-06-30T12:18:26Z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